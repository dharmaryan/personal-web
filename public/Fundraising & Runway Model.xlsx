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kl\Four Clover Dropbox\Four Clover Accounting Solutions\PC (2)\Documents\Resume (July 2025)\Templates\"/>
    </mc:Choice>
  </mc:AlternateContent>
  <xr:revisionPtr revIDLastSave="0" documentId="13_ncr:1_{59DD3699-5056-4C46-8ACF-A49F6830ABAB}" xr6:coauthVersionLast="47" xr6:coauthVersionMax="47" xr10:uidLastSave="{00000000-0000-0000-0000-000000000000}"/>
  <bookViews>
    <workbookView xWindow="-96" yWindow="-96" windowWidth="23232" windowHeight="13872" activeTab="6" xr2:uid="{93D917B8-CF84-4B1B-ABCE-5EC332488212}"/>
  </bookViews>
  <sheets>
    <sheet name="Ctrl" sheetId="9" r:id="rId1"/>
    <sheet name="Sum" sheetId="8" r:id="rId2"/>
    <sheet name="Calc&gt;" sheetId="4" r:id="rId3"/>
    <sheet name="Calc.Mth" sheetId="1" r:id="rId4"/>
    <sheet name="Fin&gt;" sheetId="5" r:id="rId5"/>
    <sheet name="Fin.Mth" sheetId="6" r:id="rId6"/>
    <sheet name="Fin.Qtr" sheetId="2" r:id="rId7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4" i="9" l="1"/>
  <c r="S43" i="9"/>
  <c r="R44" i="9"/>
  <c r="R43" i="9"/>
  <c r="AP32" i="8"/>
  <c r="AQ33" i="8"/>
  <c r="AP33" i="8"/>
  <c r="AP30" i="8"/>
  <c r="AQ30" i="8"/>
  <c r="AP28" i="8"/>
  <c r="AQ31" i="8" s="1"/>
  <c r="W48" i="9"/>
  <c r="W47" i="9"/>
  <c r="V48" i="9"/>
  <c r="V47" i="9"/>
  <c r="U40" i="9"/>
  <c r="U39" i="9"/>
  <c r="T40" i="9"/>
  <c r="T39" i="9"/>
  <c r="Q31" i="9"/>
  <c r="P31" i="9"/>
  <c r="T11" i="9"/>
  <c r="U11" i="9"/>
  <c r="V11" i="9"/>
  <c r="W11" i="9"/>
  <c r="T24" i="9"/>
  <c r="U24" i="9"/>
  <c r="T25" i="9"/>
  <c r="U25" i="9"/>
  <c r="T26" i="9"/>
  <c r="U26" i="9"/>
  <c r="T31" i="9"/>
  <c r="U31" i="9"/>
  <c r="T34" i="9"/>
  <c r="U34" i="9"/>
  <c r="T35" i="9"/>
  <c r="U35" i="9"/>
  <c r="T36" i="9"/>
  <c r="U36" i="9"/>
  <c r="T43" i="9"/>
  <c r="U43" i="9"/>
  <c r="T44" i="9"/>
  <c r="U44" i="9"/>
  <c r="T47" i="9"/>
  <c r="U47" i="9"/>
  <c r="T48" i="9"/>
  <c r="U48" i="9"/>
  <c r="T51" i="9"/>
  <c r="U51" i="9"/>
  <c r="T52" i="9"/>
  <c r="U52" i="9"/>
  <c r="T56" i="9"/>
  <c r="U56" i="9"/>
  <c r="T57" i="9"/>
  <c r="U57" i="9"/>
  <c r="T58" i="9"/>
  <c r="U58" i="9"/>
  <c r="T62" i="9"/>
  <c r="U62" i="9"/>
  <c r="T63" i="9"/>
  <c r="U63" i="9"/>
  <c r="T66" i="9"/>
  <c r="U66" i="9"/>
  <c r="T67" i="9"/>
  <c r="U67" i="9"/>
  <c r="T68" i="9"/>
  <c r="U68" i="9"/>
  <c r="T69" i="9"/>
  <c r="U69" i="9"/>
  <c r="T73" i="9"/>
  <c r="U73" i="9"/>
  <c r="T74" i="9"/>
  <c r="U74" i="9"/>
  <c r="W24" i="9"/>
  <c r="W25" i="9"/>
  <c r="W26" i="9"/>
  <c r="W31" i="9"/>
  <c r="W34" i="9"/>
  <c r="W35" i="9"/>
  <c r="W36" i="9"/>
  <c r="W39" i="9"/>
  <c r="W40" i="9"/>
  <c r="W43" i="9"/>
  <c r="W44" i="9"/>
  <c r="W51" i="9"/>
  <c r="W52" i="9"/>
  <c r="W56" i="9"/>
  <c r="W57" i="9"/>
  <c r="W58" i="9"/>
  <c r="W62" i="9"/>
  <c r="W63" i="9"/>
  <c r="W66" i="9"/>
  <c r="W67" i="9"/>
  <c r="W68" i="9"/>
  <c r="W69" i="9"/>
  <c r="W73" i="9"/>
  <c r="W74" i="9"/>
  <c r="V24" i="9"/>
  <c r="V25" i="9"/>
  <c r="V26" i="9"/>
  <c r="V31" i="9"/>
  <c r="V34" i="9"/>
  <c r="V35" i="9"/>
  <c r="V36" i="9"/>
  <c r="V39" i="9"/>
  <c r="V40" i="9"/>
  <c r="V43" i="9"/>
  <c r="V44" i="9"/>
  <c r="V51" i="9"/>
  <c r="V52" i="9"/>
  <c r="V56" i="9"/>
  <c r="V57" i="9"/>
  <c r="V58" i="9"/>
  <c r="V62" i="9"/>
  <c r="V63" i="9"/>
  <c r="V66" i="9"/>
  <c r="V67" i="9"/>
  <c r="V68" i="9"/>
  <c r="V69" i="9"/>
  <c r="V73" i="9"/>
  <c r="V74" i="9"/>
  <c r="S52" i="9"/>
  <c r="R52" i="9"/>
  <c r="Q52" i="9"/>
  <c r="P52" i="9"/>
  <c r="S51" i="9"/>
  <c r="R51" i="9"/>
  <c r="Q51" i="9"/>
  <c r="P51" i="9"/>
  <c r="Q44" i="9"/>
  <c r="P44" i="9"/>
  <c r="Q43" i="9"/>
  <c r="P43" i="9"/>
  <c r="P40" i="9"/>
  <c r="Q40" i="9"/>
  <c r="R40" i="9"/>
  <c r="S40" i="9"/>
  <c r="P24" i="9"/>
  <c r="Q24" i="9"/>
  <c r="R24" i="9"/>
  <c r="S24" i="9"/>
  <c r="P25" i="9"/>
  <c r="Q25" i="9"/>
  <c r="R25" i="9"/>
  <c r="S25" i="9"/>
  <c r="P26" i="9"/>
  <c r="Q26" i="9"/>
  <c r="R26" i="9"/>
  <c r="S26" i="9"/>
  <c r="R31" i="9"/>
  <c r="S31" i="9"/>
  <c r="P34" i="9"/>
  <c r="Q34" i="9"/>
  <c r="R34" i="9"/>
  <c r="S34" i="9"/>
  <c r="P35" i="9"/>
  <c r="Q35" i="9"/>
  <c r="R35" i="9"/>
  <c r="S35" i="9"/>
  <c r="P36" i="9"/>
  <c r="Q36" i="9"/>
  <c r="R36" i="9"/>
  <c r="S36" i="9"/>
  <c r="P39" i="9"/>
  <c r="Q39" i="9"/>
  <c r="R39" i="9"/>
  <c r="S39" i="9"/>
  <c r="P47" i="9"/>
  <c r="Q47" i="9"/>
  <c r="R47" i="9"/>
  <c r="S47" i="9"/>
  <c r="P48" i="9"/>
  <c r="Q48" i="9"/>
  <c r="R48" i="9"/>
  <c r="S48" i="9"/>
  <c r="P56" i="9"/>
  <c r="Q56" i="9"/>
  <c r="R56" i="9"/>
  <c r="S56" i="9"/>
  <c r="P57" i="9"/>
  <c r="Q57" i="9"/>
  <c r="R57" i="9"/>
  <c r="S57" i="9"/>
  <c r="P58" i="9"/>
  <c r="Q58" i="9"/>
  <c r="R58" i="9"/>
  <c r="S58" i="9"/>
  <c r="P62" i="9"/>
  <c r="Q62" i="9"/>
  <c r="R62" i="9"/>
  <c r="S62" i="9"/>
  <c r="P63" i="9"/>
  <c r="Q63" i="9"/>
  <c r="R63" i="9"/>
  <c r="S63" i="9"/>
  <c r="P66" i="9"/>
  <c r="Q66" i="9"/>
  <c r="R66" i="9"/>
  <c r="S66" i="9"/>
  <c r="P67" i="9"/>
  <c r="Q67" i="9"/>
  <c r="R67" i="9"/>
  <c r="S67" i="9"/>
  <c r="P68" i="9"/>
  <c r="Q68" i="9"/>
  <c r="R68" i="9"/>
  <c r="S68" i="9"/>
  <c r="P69" i="9"/>
  <c r="Q69" i="9"/>
  <c r="R69" i="9"/>
  <c r="S69" i="9"/>
  <c r="P73" i="9"/>
  <c r="Q73" i="9"/>
  <c r="R73" i="9"/>
  <c r="S73" i="9"/>
  <c r="P74" i="9"/>
  <c r="Q74" i="9"/>
  <c r="R74" i="9"/>
  <c r="S74" i="9"/>
  <c r="J40" i="9"/>
  <c r="H40" i="9" s="1"/>
  <c r="L45" i="1" s="1"/>
  <c r="J39" i="9"/>
  <c r="H39" i="9" s="1"/>
  <c r="L35" i="1" s="1"/>
  <c r="O44" i="9"/>
  <c r="O52" i="9"/>
  <c r="O51" i="9"/>
  <c r="N40" i="9"/>
  <c r="O40" i="9" s="1"/>
  <c r="N43" i="9"/>
  <c r="O43" i="9" s="1"/>
  <c r="AQ15" i="8"/>
  <c r="AP16" i="8" s="1"/>
  <c r="AQ14" i="8"/>
  <c r="AN15" i="8" s="1"/>
  <c r="AJ47" i="8"/>
  <c r="AI48" i="8" s="1"/>
  <c r="AJ46" i="8"/>
  <c r="AG47" i="8" s="1"/>
  <c r="AJ45" i="8"/>
  <c r="AI45" i="8" s="1"/>
  <c r="M44" i="9"/>
  <c r="M43" i="9"/>
  <c r="M40" i="9"/>
  <c r="AP13" i="8"/>
  <c r="J48" i="9"/>
  <c r="H48" i="9" s="1"/>
  <c r="L67" i="1" s="1"/>
  <c r="J47" i="9"/>
  <c r="H47" i="9" s="1"/>
  <c r="L61" i="1" s="1"/>
  <c r="K51" i="9"/>
  <c r="L51" i="9"/>
  <c r="K52" i="9"/>
  <c r="L52" i="9"/>
  <c r="K47" i="9"/>
  <c r="L47" i="9"/>
  <c r="M47" i="9"/>
  <c r="K48" i="9"/>
  <c r="L48" i="9"/>
  <c r="M48" i="9"/>
  <c r="J44" i="9"/>
  <c r="H44" i="9" s="1"/>
  <c r="H47" i="1" s="1"/>
  <c r="J43" i="9"/>
  <c r="K39" i="9"/>
  <c r="L39" i="9"/>
  <c r="M39" i="9"/>
  <c r="N39" i="9"/>
  <c r="O39" i="9"/>
  <c r="K40" i="9"/>
  <c r="L40" i="9"/>
  <c r="J26" i="9"/>
  <c r="H26" i="9" s="1"/>
  <c r="K26" i="9"/>
  <c r="L26" i="9"/>
  <c r="M26" i="9"/>
  <c r="N26" i="9"/>
  <c r="O26" i="9"/>
  <c r="K34" i="9"/>
  <c r="L34" i="9"/>
  <c r="M34" i="9"/>
  <c r="N34" i="9"/>
  <c r="O34" i="9"/>
  <c r="K35" i="9"/>
  <c r="L35" i="9"/>
  <c r="M35" i="9"/>
  <c r="N35" i="9"/>
  <c r="O35" i="9"/>
  <c r="K36" i="9"/>
  <c r="L36" i="9"/>
  <c r="M36" i="9"/>
  <c r="N36" i="9"/>
  <c r="O36" i="9"/>
  <c r="G47" i="8"/>
  <c r="G48" i="8"/>
  <c r="G49" i="8"/>
  <c r="G50" i="8"/>
  <c r="G46" i="8"/>
  <c r="K31" i="9"/>
  <c r="L31" i="9"/>
  <c r="M31" i="9"/>
  <c r="N31" i="9"/>
  <c r="O31" i="9"/>
  <c r="J36" i="9"/>
  <c r="H36" i="9" s="1"/>
  <c r="N26" i="1" s="1"/>
  <c r="J35" i="9"/>
  <c r="H35" i="9" s="1"/>
  <c r="M26" i="1" s="1"/>
  <c r="J34" i="9"/>
  <c r="H34" i="9" s="1"/>
  <c r="L26" i="1" s="1"/>
  <c r="J31" i="9"/>
  <c r="H31" i="9" s="1"/>
  <c r="L88" i="6"/>
  <c r="H12" i="9"/>
  <c r="B5" i="9" s="1"/>
  <c r="L74" i="9"/>
  <c r="O74" i="9"/>
  <c r="N74" i="9"/>
  <c r="M74" i="9"/>
  <c r="K74" i="9"/>
  <c r="J74" i="9"/>
  <c r="H74" i="9" s="1"/>
  <c r="H128" i="1" s="1"/>
  <c r="O73" i="9"/>
  <c r="N73" i="9"/>
  <c r="M73" i="9"/>
  <c r="L73" i="9"/>
  <c r="K73" i="9"/>
  <c r="J73" i="9"/>
  <c r="H73" i="9" s="1"/>
  <c r="H127" i="1" s="1"/>
  <c r="O69" i="9"/>
  <c r="N69" i="9"/>
  <c r="M69" i="9"/>
  <c r="L69" i="9"/>
  <c r="K69" i="9"/>
  <c r="J69" i="9"/>
  <c r="H69" i="9" s="1"/>
  <c r="H121" i="1" s="1"/>
  <c r="O68" i="9"/>
  <c r="N68" i="9"/>
  <c r="M68" i="9"/>
  <c r="L68" i="9"/>
  <c r="K68" i="9"/>
  <c r="J68" i="9"/>
  <c r="H68" i="9" s="1"/>
  <c r="H115" i="1" s="1"/>
  <c r="O67" i="9"/>
  <c r="N67" i="9"/>
  <c r="M67" i="9"/>
  <c r="L67" i="9"/>
  <c r="K67" i="9"/>
  <c r="J67" i="9"/>
  <c r="H67" i="9" s="1"/>
  <c r="H109" i="1" s="1"/>
  <c r="O66" i="9"/>
  <c r="N66" i="9"/>
  <c r="M66" i="9"/>
  <c r="L66" i="9"/>
  <c r="K66" i="9"/>
  <c r="J66" i="9"/>
  <c r="H66" i="9" s="1"/>
  <c r="H104" i="1" s="1"/>
  <c r="O63" i="9"/>
  <c r="N63" i="9"/>
  <c r="M63" i="9"/>
  <c r="L63" i="9"/>
  <c r="K63" i="9"/>
  <c r="J63" i="9"/>
  <c r="H63" i="9" s="1"/>
  <c r="H100" i="1" s="1"/>
  <c r="O62" i="9"/>
  <c r="N62" i="9"/>
  <c r="M62" i="9"/>
  <c r="L62" i="9"/>
  <c r="K62" i="9"/>
  <c r="J62" i="9"/>
  <c r="H62" i="9" s="1"/>
  <c r="J58" i="9"/>
  <c r="H58" i="9" s="1"/>
  <c r="H24" i="1" s="1"/>
  <c r="K58" i="9"/>
  <c r="L58" i="9"/>
  <c r="M58" i="9"/>
  <c r="N58" i="9"/>
  <c r="O58" i="9"/>
  <c r="O57" i="9"/>
  <c r="N57" i="9"/>
  <c r="M57" i="9"/>
  <c r="L57" i="9"/>
  <c r="K57" i="9"/>
  <c r="J57" i="9"/>
  <c r="H57" i="9" s="1"/>
  <c r="H23" i="1" s="1"/>
  <c r="O56" i="9"/>
  <c r="N56" i="9"/>
  <c r="M56" i="9"/>
  <c r="L56" i="9"/>
  <c r="K56" i="9"/>
  <c r="J56" i="9"/>
  <c r="H56" i="9" s="1"/>
  <c r="H22" i="1" s="1"/>
  <c r="J52" i="9"/>
  <c r="H52" i="9" s="1"/>
  <c r="H67" i="1" s="1"/>
  <c r="J51" i="9"/>
  <c r="H51" i="9" s="1"/>
  <c r="H61" i="1" s="1"/>
  <c r="O48" i="9"/>
  <c r="N48" i="9"/>
  <c r="O47" i="9"/>
  <c r="N47" i="9"/>
  <c r="J25" i="9"/>
  <c r="H25" i="9" s="1"/>
  <c r="E20" i="8" s="1"/>
  <c r="K25" i="9"/>
  <c r="L25" i="9"/>
  <c r="M25" i="9"/>
  <c r="N25" i="9"/>
  <c r="O25" i="9"/>
  <c r="K24" i="9"/>
  <c r="L24" i="9"/>
  <c r="M24" i="9"/>
  <c r="N24" i="9"/>
  <c r="O24" i="9"/>
  <c r="J24" i="9"/>
  <c r="H24" i="9" s="1"/>
  <c r="E26" i="8" s="1"/>
  <c r="B52" i="9"/>
  <c r="B51" i="9"/>
  <c r="B48" i="9"/>
  <c r="B47" i="9"/>
  <c r="B44" i="9"/>
  <c r="B43" i="9"/>
  <c r="J11" i="9"/>
  <c r="K11" i="9" s="1"/>
  <c r="L11" i="9" s="1"/>
  <c r="M11" i="9" s="1"/>
  <c r="N11" i="9" s="1"/>
  <c r="AQ32" i="8" l="1"/>
  <c r="AP31" i="8"/>
  <c r="AH46" i="8"/>
  <c r="AO15" i="8"/>
  <c r="H43" i="9"/>
  <c r="L37" i="1" s="1"/>
  <c r="AO14" i="8"/>
  <c r="AH47" i="8"/>
  <c r="AG46" i="8"/>
  <c r="AN14" i="8"/>
  <c r="M61" i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M67" i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L34" i="1"/>
  <c r="L44" i="1"/>
  <c r="N44" i="1"/>
  <c r="M44" i="1"/>
  <c r="N34" i="1"/>
  <c r="M34" i="1"/>
  <c r="B5" i="8"/>
  <c r="B5" i="6"/>
  <c r="B5" i="2"/>
  <c r="B5" i="1"/>
  <c r="O11" i="9"/>
  <c r="P11" i="9" s="1"/>
  <c r="Q11" i="9" s="1"/>
  <c r="R11" i="9" s="1"/>
  <c r="S11" i="9" s="1"/>
  <c r="B54" i="2" l="1"/>
  <c r="B53" i="2"/>
  <c r="B52" i="2"/>
  <c r="B51" i="2"/>
  <c r="B50" i="2"/>
  <c r="B49" i="2"/>
  <c r="B48" i="2"/>
  <c r="B47" i="2"/>
  <c r="B46" i="2"/>
  <c r="B45" i="2"/>
  <c r="B44" i="2"/>
  <c r="B43" i="2"/>
  <c r="B42" i="2"/>
  <c r="E17" i="8"/>
  <c r="G28" i="8"/>
  <c r="G29" i="8"/>
  <c r="G30" i="8"/>
  <c r="G31" i="8"/>
  <c r="G25" i="8"/>
  <c r="G26" i="8"/>
  <c r="G24" i="8"/>
  <c r="G16" i="8"/>
  <c r="G17" i="8"/>
  <c r="G18" i="8"/>
  <c r="G19" i="8"/>
  <c r="G20" i="8"/>
  <c r="G21" i="8"/>
  <c r="G15" i="8"/>
  <c r="K13" i="8"/>
  <c r="U65" i="2"/>
  <c r="L65" i="2"/>
  <c r="M8" i="2"/>
  <c r="L9" i="2"/>
  <c r="K11" i="2"/>
  <c r="J11" i="2"/>
  <c r="I11" i="2"/>
  <c r="H11" i="2"/>
  <c r="F11" i="2"/>
  <c r="B11" i="2"/>
  <c r="L10" i="2"/>
  <c r="B10" i="2"/>
  <c r="B9" i="2"/>
  <c r="L8" i="2"/>
  <c r="L11" i="2" s="1"/>
  <c r="B8" i="2"/>
  <c r="B7" i="2"/>
  <c r="B3" i="2"/>
  <c r="B3" i="6"/>
  <c r="B11" i="6"/>
  <c r="B10" i="6"/>
  <c r="B9" i="6"/>
  <c r="B8" i="6"/>
  <c r="B7" i="6"/>
  <c r="F11" i="6"/>
  <c r="K11" i="6"/>
  <c r="J11" i="6"/>
  <c r="I11" i="6"/>
  <c r="H11" i="6"/>
  <c r="L10" i="6"/>
  <c r="L8" i="6"/>
  <c r="L7" i="6"/>
  <c r="L65" i="6"/>
  <c r="L150" i="1"/>
  <c r="L49" i="6"/>
  <c r="L24" i="6"/>
  <c r="L23" i="6"/>
  <c r="M134" i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M133" i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L100" i="1"/>
  <c r="L109" i="1"/>
  <c r="M103" i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L121" i="1"/>
  <c r="L122" i="1" s="1"/>
  <c r="L115" i="1"/>
  <c r="L116" i="1" s="1"/>
  <c r="L18" i="1"/>
  <c r="L127" i="1" s="1"/>
  <c r="L104" i="1"/>
  <c r="L105" i="1" s="1"/>
  <c r="L19" i="1"/>
  <c r="AI24" i="6"/>
  <c r="K44" i="1"/>
  <c r="K43" i="1" s="1"/>
  <c r="M45" i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L43" i="1"/>
  <c r="L17" i="1"/>
  <c r="M37" i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I35" i="6" s="1"/>
  <c r="B59" i="1"/>
  <c r="AI23" i="6"/>
  <c r="L33" i="1"/>
  <c r="M35" i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L11" i="1"/>
  <c r="L11" i="6" s="1"/>
  <c r="M10" i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I19" i="1" s="1"/>
  <c r="L9" i="1"/>
  <c r="L9" i="6" s="1"/>
  <c r="M8" i="1"/>
  <c r="M7" i="1" s="1"/>
  <c r="N8" i="1" s="1"/>
  <c r="N7" i="1" s="1"/>
  <c r="O8" i="1" s="1"/>
  <c r="O7" i="1" s="1"/>
  <c r="P8" i="1" s="1"/>
  <c r="P7" i="1" s="1"/>
  <c r="Q8" i="1" s="1"/>
  <c r="Q7" i="1" s="1"/>
  <c r="R8" i="1" s="1"/>
  <c r="R7" i="1" s="1"/>
  <c r="S8" i="1" s="1"/>
  <c r="S7" i="1" s="1"/>
  <c r="T8" i="1" s="1"/>
  <c r="T7" i="1" s="1"/>
  <c r="U8" i="1" s="1"/>
  <c r="U7" i="1" s="1"/>
  <c r="V8" i="1" s="1"/>
  <c r="V7" i="1" s="1"/>
  <c r="W8" i="1" s="1"/>
  <c r="W7" i="1" s="1"/>
  <c r="X8" i="1" s="1"/>
  <c r="X7" i="1" s="1"/>
  <c r="Y8" i="1" s="1"/>
  <c r="Y7" i="1" s="1"/>
  <c r="Z8" i="1" s="1"/>
  <c r="Z7" i="1" s="1"/>
  <c r="AA8" i="1" s="1"/>
  <c r="AA7" i="1" s="1"/>
  <c r="AB8" i="1" s="1"/>
  <c r="AB7" i="1" s="1"/>
  <c r="AC8" i="1" s="1"/>
  <c r="AC7" i="1" s="1"/>
  <c r="AD8" i="1" s="1"/>
  <c r="AD7" i="1" s="1"/>
  <c r="AE8" i="1" s="1"/>
  <c r="AE7" i="1" s="1"/>
  <c r="AF8" i="1" s="1"/>
  <c r="AF7" i="1" s="1"/>
  <c r="AG8" i="1" s="1"/>
  <c r="AG7" i="1" s="1"/>
  <c r="AH8" i="1" s="1"/>
  <c r="AH7" i="1" s="1"/>
  <c r="AI8" i="1" s="1"/>
  <c r="AI7" i="1" s="1"/>
  <c r="AI9" i="1" s="1"/>
  <c r="AI9" i="6" s="1"/>
  <c r="U8" i="6" l="1"/>
  <c r="U10" i="6"/>
  <c r="W10" i="6"/>
  <c r="X10" i="6"/>
  <c r="N7" i="6"/>
  <c r="V10" i="6"/>
  <c r="Y10" i="6"/>
  <c r="M7" i="6"/>
  <c r="N35" i="6"/>
  <c r="AC35" i="6"/>
  <c r="AD35" i="6"/>
  <c r="M35" i="6"/>
  <c r="O7" i="6"/>
  <c r="AE7" i="6"/>
  <c r="W8" i="6"/>
  <c r="AB35" i="6"/>
  <c r="Y35" i="6"/>
  <c r="AC7" i="6"/>
  <c r="P23" i="6"/>
  <c r="S7" i="6"/>
  <c r="AA8" i="6"/>
  <c r="AA10" i="6"/>
  <c r="X35" i="6"/>
  <c r="Q23" i="6"/>
  <c r="R7" i="6"/>
  <c r="AG23" i="6"/>
  <c r="AF23" i="6"/>
  <c r="T7" i="6"/>
  <c r="AB8" i="6"/>
  <c r="AB10" i="6"/>
  <c r="W35" i="6"/>
  <c r="AD7" i="6"/>
  <c r="Q7" i="6"/>
  <c r="AH23" i="6"/>
  <c r="Z23" i="6"/>
  <c r="U7" i="6"/>
  <c r="M8" i="6"/>
  <c r="AC8" i="6"/>
  <c r="M10" i="6"/>
  <c r="AC10" i="6"/>
  <c r="V35" i="6"/>
  <c r="M10" i="2"/>
  <c r="U10" i="2"/>
  <c r="V8" i="6"/>
  <c r="AA35" i="6"/>
  <c r="Z35" i="6"/>
  <c r="AH7" i="6"/>
  <c r="Z10" i="6"/>
  <c r="AI7" i="6"/>
  <c r="Y23" i="6"/>
  <c r="V7" i="6"/>
  <c r="N8" i="6"/>
  <c r="AD8" i="6"/>
  <c r="N10" i="6"/>
  <c r="AD10" i="6"/>
  <c r="U35" i="6"/>
  <c r="N10" i="2"/>
  <c r="V10" i="2"/>
  <c r="X8" i="6"/>
  <c r="Y8" i="6"/>
  <c r="W23" i="6"/>
  <c r="W7" i="6"/>
  <c r="O8" i="6"/>
  <c r="AE8" i="6"/>
  <c r="O10" i="6"/>
  <c r="AE10" i="6"/>
  <c r="T35" i="6"/>
  <c r="O10" i="2"/>
  <c r="P7" i="6"/>
  <c r="V23" i="6"/>
  <c r="X7" i="6"/>
  <c r="P8" i="6"/>
  <c r="AF8" i="6"/>
  <c r="P10" i="6"/>
  <c r="AF10" i="6"/>
  <c r="S35" i="6"/>
  <c r="P10" i="2"/>
  <c r="U23" i="6"/>
  <c r="Y7" i="6"/>
  <c r="Q8" i="6"/>
  <c r="AG8" i="6"/>
  <c r="Q10" i="6"/>
  <c r="AG10" i="6"/>
  <c r="AH35" i="6"/>
  <c r="R35" i="6"/>
  <c r="Q10" i="2"/>
  <c r="L66" i="1"/>
  <c r="Z8" i="6"/>
  <c r="T23" i="6"/>
  <c r="Z7" i="6"/>
  <c r="R8" i="6"/>
  <c r="AH8" i="6"/>
  <c r="R10" i="6"/>
  <c r="AH10" i="6"/>
  <c r="AG35" i="6"/>
  <c r="Q35" i="6"/>
  <c r="R10" i="2"/>
  <c r="AF7" i="6"/>
  <c r="AG7" i="6"/>
  <c r="S23" i="6"/>
  <c r="AA7" i="6"/>
  <c r="S8" i="6"/>
  <c r="AI8" i="6"/>
  <c r="S10" i="6"/>
  <c r="AI10" i="6"/>
  <c r="AF35" i="6"/>
  <c r="P35" i="6"/>
  <c r="S10" i="2"/>
  <c r="R23" i="6"/>
  <c r="AB7" i="6"/>
  <c r="T8" i="6"/>
  <c r="T10" i="6"/>
  <c r="AE35" i="6"/>
  <c r="O35" i="6"/>
  <c r="U8" i="2"/>
  <c r="M7" i="2"/>
  <c r="R24" i="6"/>
  <c r="L94" i="1"/>
  <c r="X23" i="6"/>
  <c r="AH24" i="6"/>
  <c r="L93" i="1"/>
  <c r="L91" i="1"/>
  <c r="AG24" i="6"/>
  <c r="Q24" i="6"/>
  <c r="AE24" i="6"/>
  <c r="O24" i="6"/>
  <c r="N24" i="6"/>
  <c r="AE23" i="6"/>
  <c r="U24" i="6"/>
  <c r="AB23" i="6"/>
  <c r="AD24" i="6"/>
  <c r="AC24" i="6"/>
  <c r="M24" i="6"/>
  <c r="AB24" i="6"/>
  <c r="AA24" i="6"/>
  <c r="Z24" i="6"/>
  <c r="Y24" i="6"/>
  <c r="X24" i="6"/>
  <c r="O23" i="6"/>
  <c r="W24" i="6"/>
  <c r="AD23" i="6"/>
  <c r="N23" i="6"/>
  <c r="V24" i="6"/>
  <c r="AC23" i="6"/>
  <c r="M23" i="6"/>
  <c r="T24" i="6"/>
  <c r="AA23" i="6"/>
  <c r="AF24" i="6"/>
  <c r="P24" i="6"/>
  <c r="S24" i="6"/>
  <c r="AF100" i="1"/>
  <c r="AE100" i="1"/>
  <c r="R100" i="1"/>
  <c r="Q100" i="1"/>
  <c r="AG100" i="1"/>
  <c r="O100" i="1"/>
  <c r="AH100" i="1"/>
  <c r="P100" i="1"/>
  <c r="AD100" i="1"/>
  <c r="N100" i="1"/>
  <c r="AC100" i="1"/>
  <c r="M100" i="1"/>
  <c r="AB100" i="1"/>
  <c r="AA100" i="1"/>
  <c r="Z100" i="1"/>
  <c r="Y100" i="1"/>
  <c r="X100" i="1"/>
  <c r="W100" i="1"/>
  <c r="V100" i="1"/>
  <c r="U100" i="1"/>
  <c r="T100" i="1"/>
  <c r="AI100" i="1"/>
  <c r="S100" i="1"/>
  <c r="AB18" i="1"/>
  <c r="Y18" i="1"/>
  <c r="W18" i="1"/>
  <c r="T18" i="1"/>
  <c r="AI18" i="1"/>
  <c r="S18" i="1"/>
  <c r="AH18" i="1"/>
  <c r="AF18" i="1"/>
  <c r="P18" i="1"/>
  <c r="AE18" i="1"/>
  <c r="AA18" i="1"/>
  <c r="Z18" i="1"/>
  <c r="X18" i="1"/>
  <c r="V18" i="1"/>
  <c r="U18" i="1"/>
  <c r="R18" i="1"/>
  <c r="Q18" i="1"/>
  <c r="O18" i="1"/>
  <c r="AG18" i="1"/>
  <c r="AD18" i="1"/>
  <c r="N18" i="1"/>
  <c r="AC18" i="1"/>
  <c r="M18" i="1"/>
  <c r="M145" i="1" s="1"/>
  <c r="AH19" i="1"/>
  <c r="AA19" i="1"/>
  <c r="V19" i="1"/>
  <c r="T19" i="1"/>
  <c r="S19" i="1"/>
  <c r="AB19" i="1"/>
  <c r="Z19" i="1"/>
  <c r="Y19" i="1"/>
  <c r="X19" i="1"/>
  <c r="W19" i="1"/>
  <c r="U19" i="1"/>
  <c r="R19" i="1"/>
  <c r="N19" i="1"/>
  <c r="AG19" i="1"/>
  <c r="Q19" i="1"/>
  <c r="AF19" i="1"/>
  <c r="P19" i="1"/>
  <c r="AE19" i="1"/>
  <c r="O19" i="1"/>
  <c r="AD19" i="1"/>
  <c r="AC19" i="1"/>
  <c r="M19" i="1"/>
  <c r="L46" i="1"/>
  <c r="L47" i="1"/>
  <c r="Q17" i="1"/>
  <c r="AE17" i="1"/>
  <c r="O17" i="1"/>
  <c r="AD17" i="1"/>
  <c r="N17" i="1"/>
  <c r="AC17" i="1"/>
  <c r="M17" i="1"/>
  <c r="M47" i="1" s="1"/>
  <c r="Z17" i="1"/>
  <c r="Y17" i="1"/>
  <c r="T17" i="1"/>
  <c r="AI17" i="1"/>
  <c r="S17" i="1"/>
  <c r="AH17" i="1"/>
  <c r="R17" i="1"/>
  <c r="AG17" i="1"/>
  <c r="AF17" i="1"/>
  <c r="P17" i="1"/>
  <c r="AB17" i="1"/>
  <c r="AA17" i="1"/>
  <c r="X17" i="1"/>
  <c r="W17" i="1"/>
  <c r="V17" i="1"/>
  <c r="U17" i="1"/>
  <c r="M11" i="1"/>
  <c r="M11" i="6" s="1"/>
  <c r="L36" i="1"/>
  <c r="L38" i="1" s="1"/>
  <c r="L18" i="6" s="1"/>
  <c r="U11" i="1"/>
  <c r="U11" i="6" s="1"/>
  <c r="AB9" i="1"/>
  <c r="AB9" i="6" s="1"/>
  <c r="T11" i="1"/>
  <c r="T11" i="6" s="1"/>
  <c r="AA9" i="1"/>
  <c r="AA9" i="6" s="1"/>
  <c r="AI11" i="1"/>
  <c r="AI11" i="6" s="1"/>
  <c r="S11" i="1"/>
  <c r="S11" i="6" s="1"/>
  <c r="Z9" i="1"/>
  <c r="Z9" i="6" s="1"/>
  <c r="AH11" i="1"/>
  <c r="AH11" i="6" s="1"/>
  <c r="R11" i="1"/>
  <c r="R11" i="6" s="1"/>
  <c r="Y9" i="1"/>
  <c r="Y9" i="6" s="1"/>
  <c r="AG11" i="1"/>
  <c r="AG11" i="6" s="1"/>
  <c r="Q11" i="1"/>
  <c r="Q11" i="6" s="1"/>
  <c r="X9" i="1"/>
  <c r="X9" i="6" s="1"/>
  <c r="AF11" i="1"/>
  <c r="AF11" i="6" s="1"/>
  <c r="P11" i="1"/>
  <c r="P11" i="6" s="1"/>
  <c r="W9" i="1"/>
  <c r="W9" i="6" s="1"/>
  <c r="AE11" i="1"/>
  <c r="AE11" i="6" s="1"/>
  <c r="O11" i="1"/>
  <c r="O11" i="6" s="1"/>
  <c r="V9" i="1"/>
  <c r="V9" i="6" s="1"/>
  <c r="AD11" i="1"/>
  <c r="AD11" i="6" s="1"/>
  <c r="N11" i="1"/>
  <c r="N11" i="6" s="1"/>
  <c r="U9" i="1"/>
  <c r="U9" i="6" s="1"/>
  <c r="AC11" i="1"/>
  <c r="AC11" i="6" s="1"/>
  <c r="T9" i="1"/>
  <c r="T9" i="6" s="1"/>
  <c r="AB11" i="1"/>
  <c r="AB11" i="6" s="1"/>
  <c r="S9" i="1"/>
  <c r="S9" i="6" s="1"/>
  <c r="AA11" i="1"/>
  <c r="AA11" i="6" s="1"/>
  <c r="AH9" i="1"/>
  <c r="AH9" i="6" s="1"/>
  <c r="R9" i="1"/>
  <c r="R9" i="6" s="1"/>
  <c r="Z11" i="1"/>
  <c r="Z11" i="6" s="1"/>
  <c r="AG9" i="1"/>
  <c r="AG9" i="6" s="1"/>
  <c r="Q9" i="1"/>
  <c r="Q9" i="6" s="1"/>
  <c r="Y11" i="1"/>
  <c r="Y11" i="6" s="1"/>
  <c r="AF9" i="1"/>
  <c r="AF9" i="6" s="1"/>
  <c r="P9" i="1"/>
  <c r="P9" i="6" s="1"/>
  <c r="X11" i="1"/>
  <c r="X11" i="6" s="1"/>
  <c r="AE9" i="1"/>
  <c r="AE9" i="6" s="1"/>
  <c r="O9" i="1"/>
  <c r="O9" i="6" s="1"/>
  <c r="W11" i="1"/>
  <c r="W11" i="6" s="1"/>
  <c r="AD9" i="1"/>
  <c r="AD9" i="6" s="1"/>
  <c r="N9" i="1"/>
  <c r="N9" i="6" s="1"/>
  <c r="V11" i="1"/>
  <c r="V11" i="6" s="1"/>
  <c r="AC9" i="1"/>
  <c r="AC9" i="6" s="1"/>
  <c r="M9" i="1"/>
  <c r="M9" i="6" s="1"/>
  <c r="N145" i="1" l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L24" i="2"/>
  <c r="K21" i="8" s="1"/>
  <c r="M11" i="2"/>
  <c r="L13" i="8"/>
  <c r="L23" i="2"/>
  <c r="K20" i="8" s="1"/>
  <c r="M23" i="2"/>
  <c r="L20" i="8" s="1"/>
  <c r="M24" i="2"/>
  <c r="L21" i="8" s="1"/>
  <c r="M9" i="2"/>
  <c r="N8" i="2"/>
  <c r="M35" i="2"/>
  <c r="L30" i="8" s="1"/>
  <c r="M115" i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M121" i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M104" i="1"/>
  <c r="M109" i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L128" i="1"/>
  <c r="P114" i="1"/>
  <c r="P127" i="1"/>
  <c r="AF114" i="1"/>
  <c r="AF127" i="1"/>
  <c r="M114" i="1"/>
  <c r="M113" i="1" s="1"/>
  <c r="M127" i="1"/>
  <c r="M126" i="1" s="1"/>
  <c r="M49" i="6" s="1"/>
  <c r="AH114" i="1"/>
  <c r="AH127" i="1"/>
  <c r="AC114" i="1"/>
  <c r="AC127" i="1"/>
  <c r="S114" i="1"/>
  <c r="S127" i="1"/>
  <c r="N114" i="1"/>
  <c r="N127" i="1"/>
  <c r="AI114" i="1"/>
  <c r="AI127" i="1"/>
  <c r="AD114" i="1"/>
  <c r="AD127" i="1"/>
  <c r="T114" i="1"/>
  <c r="T127" i="1"/>
  <c r="AG114" i="1"/>
  <c r="AG127" i="1"/>
  <c r="W114" i="1"/>
  <c r="W127" i="1"/>
  <c r="O114" i="1"/>
  <c r="O127" i="1"/>
  <c r="Y114" i="1"/>
  <c r="Y127" i="1"/>
  <c r="Q114" i="1"/>
  <c r="Q127" i="1"/>
  <c r="AB114" i="1"/>
  <c r="AB127" i="1"/>
  <c r="R114" i="1"/>
  <c r="R127" i="1"/>
  <c r="U114" i="1"/>
  <c r="U127" i="1"/>
  <c r="V114" i="1"/>
  <c r="V127" i="1"/>
  <c r="X114" i="1"/>
  <c r="X127" i="1"/>
  <c r="Z114" i="1"/>
  <c r="Z127" i="1"/>
  <c r="AA114" i="1"/>
  <c r="AA127" i="1"/>
  <c r="AE114" i="1"/>
  <c r="AE127" i="1"/>
  <c r="L68" i="1"/>
  <c r="L69" i="1" s="1"/>
  <c r="M46" i="1"/>
  <c r="T47" i="1"/>
  <c r="N47" i="1"/>
  <c r="S46" i="1"/>
  <c r="N46" i="1"/>
  <c r="R46" i="1"/>
  <c r="AC47" i="1"/>
  <c r="U46" i="1"/>
  <c r="V46" i="1"/>
  <c r="U47" i="1"/>
  <c r="P47" i="1"/>
  <c r="AF47" i="1"/>
  <c r="X47" i="1"/>
  <c r="P46" i="1"/>
  <c r="W47" i="1"/>
  <c r="O46" i="1"/>
  <c r="Q47" i="1"/>
  <c r="AG47" i="1"/>
  <c r="R47" i="1"/>
  <c r="AH47" i="1"/>
  <c r="S47" i="1"/>
  <c r="AI47" i="1"/>
  <c r="Y47" i="1"/>
  <c r="AB47" i="1"/>
  <c r="AD47" i="1"/>
  <c r="AE47" i="1"/>
  <c r="V47" i="1"/>
  <c r="Q46" i="1"/>
  <c r="T46" i="1"/>
  <c r="AA47" i="1"/>
  <c r="Z47" i="1"/>
  <c r="O47" i="1"/>
  <c r="L48" i="1"/>
  <c r="M33" i="1"/>
  <c r="L60" i="1"/>
  <c r="X46" i="1" l="1"/>
  <c r="M116" i="1"/>
  <c r="M93" i="1" s="1"/>
  <c r="W46" i="1"/>
  <c r="N7" i="2"/>
  <c r="M13" i="8" s="1"/>
  <c r="L19" i="6"/>
  <c r="L129" i="1"/>
  <c r="L50" i="6"/>
  <c r="N104" i="1"/>
  <c r="M105" i="1"/>
  <c r="M91" i="1" s="1"/>
  <c r="N126" i="1"/>
  <c r="N113" i="1"/>
  <c r="M43" i="1"/>
  <c r="M36" i="6" s="1"/>
  <c r="L30" i="1"/>
  <c r="L23" i="1" s="1"/>
  <c r="L70" i="1"/>
  <c r="L62" i="1"/>
  <c r="L42" i="6" s="1"/>
  <c r="M36" i="1"/>
  <c r="M38" i="1" s="1"/>
  <c r="N23" i="2" l="1"/>
  <c r="M20" i="8" s="1"/>
  <c r="N11" i="2"/>
  <c r="N9" i="2"/>
  <c r="N24" i="2"/>
  <c r="M21" i="8" s="1"/>
  <c r="N35" i="2"/>
  <c r="M30" i="8" s="1"/>
  <c r="O8" i="2"/>
  <c r="M66" i="1"/>
  <c r="M68" i="1" s="1"/>
  <c r="M69" i="1" s="1"/>
  <c r="L71" i="1"/>
  <c r="L43" i="6"/>
  <c r="L20" i="6"/>
  <c r="N116" i="1"/>
  <c r="N93" i="1" s="1"/>
  <c r="O126" i="1"/>
  <c r="N49" i="6"/>
  <c r="O104" i="1"/>
  <c r="N105" i="1"/>
  <c r="N91" i="1" s="1"/>
  <c r="M60" i="1"/>
  <c r="M62" i="1" s="1"/>
  <c r="M42" i="6" s="1"/>
  <c r="M18" i="6"/>
  <c r="O113" i="1"/>
  <c r="Y46" i="1"/>
  <c r="M128" i="1"/>
  <c r="M48" i="1"/>
  <c r="L63" i="1"/>
  <c r="L55" i="1"/>
  <c r="L56" i="1"/>
  <c r="L28" i="6" s="1"/>
  <c r="N33" i="1"/>
  <c r="M39" i="1"/>
  <c r="L49" i="2" l="1"/>
  <c r="K47" i="8" s="1"/>
  <c r="M70" i="1"/>
  <c r="M55" i="1" s="1"/>
  <c r="O7" i="2"/>
  <c r="L44" i="6"/>
  <c r="L57" i="1"/>
  <c r="L144" i="1" s="1"/>
  <c r="M19" i="6"/>
  <c r="L151" i="1"/>
  <c r="L152" i="1" s="1"/>
  <c r="P104" i="1"/>
  <c r="O105" i="1"/>
  <c r="O91" i="1" s="1"/>
  <c r="O116" i="1"/>
  <c r="O93" i="1" s="1"/>
  <c r="P126" i="1"/>
  <c r="O49" i="6"/>
  <c r="M129" i="1"/>
  <c r="M50" i="6"/>
  <c r="L142" i="1"/>
  <c r="L29" i="6"/>
  <c r="L85" i="1"/>
  <c r="L137" i="1"/>
  <c r="P113" i="1"/>
  <c r="M49" i="1"/>
  <c r="M30" i="1"/>
  <c r="M23" i="1" s="1"/>
  <c r="M120" i="1" s="1"/>
  <c r="N43" i="1"/>
  <c r="N36" i="6" s="1"/>
  <c r="L80" i="1"/>
  <c r="L79" i="1"/>
  <c r="L84" i="1"/>
  <c r="M56" i="1"/>
  <c r="M28" i="6" s="1"/>
  <c r="M63" i="1"/>
  <c r="N36" i="1"/>
  <c r="M43" i="6" l="1"/>
  <c r="M71" i="1"/>
  <c r="M57" i="1" s="1"/>
  <c r="M22" i="1" s="1"/>
  <c r="O24" i="2"/>
  <c r="N13" i="8"/>
  <c r="P8" i="2"/>
  <c r="O9" i="2"/>
  <c r="U7" i="2"/>
  <c r="O23" i="2"/>
  <c r="O11" i="2"/>
  <c r="O35" i="2"/>
  <c r="L22" i="1"/>
  <c r="L108" i="1" s="1"/>
  <c r="L110" i="1" s="1"/>
  <c r="L92" i="1" s="1"/>
  <c r="L95" i="1" s="1"/>
  <c r="L96" i="1" s="1"/>
  <c r="L97" i="1" s="1"/>
  <c r="L143" i="1"/>
  <c r="L80" i="6" s="1"/>
  <c r="L30" i="6"/>
  <c r="M20" i="6"/>
  <c r="L75" i="6"/>
  <c r="M150" i="1"/>
  <c r="L52" i="6"/>
  <c r="L81" i="6"/>
  <c r="M151" i="1"/>
  <c r="L82" i="6"/>
  <c r="P116" i="1"/>
  <c r="P93" i="1" s="1"/>
  <c r="Q126" i="1"/>
  <c r="P49" i="6"/>
  <c r="Q104" i="1"/>
  <c r="P105" i="1"/>
  <c r="P91" i="1" s="1"/>
  <c r="L25" i="6"/>
  <c r="M142" i="1"/>
  <c r="M29" i="6"/>
  <c r="L86" i="1"/>
  <c r="M85" i="1"/>
  <c r="M137" i="1"/>
  <c r="Q113" i="1"/>
  <c r="L81" i="1"/>
  <c r="M80" i="1"/>
  <c r="M79" i="1"/>
  <c r="M84" i="1"/>
  <c r="N38" i="1"/>
  <c r="M44" i="6" l="1"/>
  <c r="U24" i="2"/>
  <c r="T21" i="8" s="1"/>
  <c r="N21" i="8"/>
  <c r="P7" i="2"/>
  <c r="P23" i="2"/>
  <c r="O20" i="8" s="1"/>
  <c r="P35" i="2"/>
  <c r="O30" i="8" s="1"/>
  <c r="N30" i="8"/>
  <c r="U35" i="2"/>
  <c r="T30" i="8" s="1"/>
  <c r="N20" i="8"/>
  <c r="U23" i="2"/>
  <c r="T20" i="8" s="1"/>
  <c r="V8" i="2"/>
  <c r="U11" i="2"/>
  <c r="T13" i="8"/>
  <c r="U9" i="2"/>
  <c r="L146" i="1"/>
  <c r="L147" i="1" s="1"/>
  <c r="L59" i="6" s="1"/>
  <c r="M81" i="1"/>
  <c r="M30" i="6"/>
  <c r="M144" i="1"/>
  <c r="L98" i="1"/>
  <c r="L24" i="1" s="1"/>
  <c r="L132" i="1" s="1"/>
  <c r="L135" i="1" s="1"/>
  <c r="L51" i="6" s="1"/>
  <c r="M143" i="1"/>
  <c r="M80" i="6" s="1"/>
  <c r="M108" i="1"/>
  <c r="M110" i="1" s="1"/>
  <c r="M92" i="1" s="1"/>
  <c r="N66" i="1"/>
  <c r="N68" i="1" s="1"/>
  <c r="N69" i="1" s="1"/>
  <c r="L61" i="6"/>
  <c r="M75" i="6"/>
  <c r="M152" i="1"/>
  <c r="L48" i="6"/>
  <c r="M52" i="6"/>
  <c r="L83" i="6"/>
  <c r="Q116" i="1"/>
  <c r="Q93" i="1" s="1"/>
  <c r="L75" i="1"/>
  <c r="R104" i="1"/>
  <c r="Q105" i="1"/>
  <c r="Q91" i="1" s="1"/>
  <c r="R126" i="1"/>
  <c r="Q49" i="6"/>
  <c r="M49" i="2" s="1"/>
  <c r="L47" i="8" s="1"/>
  <c r="M25" i="6"/>
  <c r="N39" i="1"/>
  <c r="N18" i="6"/>
  <c r="L18" i="2" s="1"/>
  <c r="R113" i="1"/>
  <c r="M86" i="1"/>
  <c r="N48" i="1"/>
  <c r="N128" i="1"/>
  <c r="Z46" i="1"/>
  <c r="O33" i="1"/>
  <c r="N60" i="1"/>
  <c r="K16" i="8" l="1"/>
  <c r="N70" i="1"/>
  <c r="N43" i="6" s="1"/>
  <c r="P24" i="2"/>
  <c r="O21" i="8" s="1"/>
  <c r="P11" i="2"/>
  <c r="Q8" i="2"/>
  <c r="O13" i="8"/>
  <c r="P9" i="2"/>
  <c r="M146" i="1"/>
  <c r="M147" i="1" s="1"/>
  <c r="M59" i="6" s="1"/>
  <c r="M82" i="6"/>
  <c r="M75" i="1"/>
  <c r="M45" i="6" s="1"/>
  <c r="M46" i="6" s="1"/>
  <c r="L38" i="6"/>
  <c r="M81" i="6"/>
  <c r="N150" i="1"/>
  <c r="L45" i="6"/>
  <c r="N19" i="6"/>
  <c r="L19" i="2" s="1"/>
  <c r="R116" i="1"/>
  <c r="R93" i="1" s="1"/>
  <c r="S126" i="1"/>
  <c r="R49" i="6"/>
  <c r="S104" i="1"/>
  <c r="R105" i="1"/>
  <c r="R91" i="1" s="1"/>
  <c r="N129" i="1"/>
  <c r="N50" i="6"/>
  <c r="S113" i="1"/>
  <c r="O43" i="1"/>
  <c r="O36" i="6" s="1"/>
  <c r="N30" i="1"/>
  <c r="N23" i="1" s="1"/>
  <c r="N120" i="1" s="1"/>
  <c r="N49" i="1"/>
  <c r="N62" i="1"/>
  <c r="N42" i="6" s="1"/>
  <c r="O36" i="1"/>
  <c r="O34" i="1"/>
  <c r="O44" i="1" l="1"/>
  <c r="O48" i="1" s="1"/>
  <c r="K17" i="8"/>
  <c r="L42" i="2"/>
  <c r="K39" i="8" s="1"/>
  <c r="L50" i="2"/>
  <c r="K48" i="8" s="1"/>
  <c r="N71" i="1"/>
  <c r="Q7" i="2"/>
  <c r="Q35" i="2" s="1"/>
  <c r="P30" i="8" s="1"/>
  <c r="N44" i="6"/>
  <c r="L43" i="2"/>
  <c r="K40" i="8" s="1"/>
  <c r="M83" i="6"/>
  <c r="L46" i="6"/>
  <c r="N20" i="6"/>
  <c r="L20" i="2" s="1"/>
  <c r="M61" i="6"/>
  <c r="M47" i="6"/>
  <c r="S116" i="1"/>
  <c r="S93" i="1" s="1"/>
  <c r="T104" i="1"/>
  <c r="S105" i="1"/>
  <c r="S91" i="1" s="1"/>
  <c r="T126" i="1"/>
  <c r="S49" i="6"/>
  <c r="T113" i="1"/>
  <c r="N56" i="1"/>
  <c r="N55" i="1"/>
  <c r="O38" i="1"/>
  <c r="N63" i="1"/>
  <c r="AA46" i="1" l="1"/>
  <c r="O66" i="1"/>
  <c r="O68" i="1" s="1"/>
  <c r="O69" i="1" s="1"/>
  <c r="O70" i="1" s="1"/>
  <c r="O43" i="6" s="1"/>
  <c r="O128" i="1"/>
  <c r="O129" i="1" s="1"/>
  <c r="Q23" i="2"/>
  <c r="P20" i="8" s="1"/>
  <c r="Q24" i="2"/>
  <c r="P21" i="8" s="1"/>
  <c r="K18" i="8"/>
  <c r="L53" i="6"/>
  <c r="L54" i="6" s="1"/>
  <c r="N57" i="1"/>
  <c r="N143" i="1" s="1"/>
  <c r="P13" i="8"/>
  <c r="Q9" i="2"/>
  <c r="Q11" i="2"/>
  <c r="R8" i="2"/>
  <c r="L47" i="6"/>
  <c r="N29" i="6"/>
  <c r="O19" i="6"/>
  <c r="M33" i="6"/>
  <c r="M34" i="6"/>
  <c r="N28" i="6"/>
  <c r="L28" i="2" s="1"/>
  <c r="N151" i="1"/>
  <c r="N152" i="1" s="1"/>
  <c r="T116" i="1"/>
  <c r="T93" i="1" s="1"/>
  <c r="U126" i="1"/>
  <c r="T49" i="6"/>
  <c r="U104" i="1"/>
  <c r="T105" i="1"/>
  <c r="T91" i="1" s="1"/>
  <c r="U113" i="1"/>
  <c r="O39" i="1"/>
  <c r="O18" i="6"/>
  <c r="N137" i="1"/>
  <c r="N142" i="1"/>
  <c r="O49" i="1"/>
  <c r="O30" i="1"/>
  <c r="O23" i="1" s="1"/>
  <c r="O120" i="1" s="1"/>
  <c r="P43" i="1"/>
  <c r="P36" i="6" s="1"/>
  <c r="N84" i="1"/>
  <c r="N85" i="1"/>
  <c r="N80" i="1"/>
  <c r="N79" i="1"/>
  <c r="O60" i="1"/>
  <c r="O62" i="1" s="1"/>
  <c r="O42" i="6" s="1"/>
  <c r="P33" i="1"/>
  <c r="P36" i="1" s="1"/>
  <c r="L29" i="2" l="1"/>
  <c r="K25" i="8" s="1"/>
  <c r="O50" i="6"/>
  <c r="P44" i="1"/>
  <c r="P66" i="1" s="1"/>
  <c r="P68" i="1" s="1"/>
  <c r="P69" i="1" s="1"/>
  <c r="L58" i="6"/>
  <c r="L62" i="6" s="1"/>
  <c r="K24" i="8"/>
  <c r="N49" i="2"/>
  <c r="M47" i="8" s="1"/>
  <c r="N144" i="1"/>
  <c r="N146" i="1" s="1"/>
  <c r="N147" i="1" s="1"/>
  <c r="N22" i="1"/>
  <c r="N30" i="6"/>
  <c r="L30" i="2" s="1"/>
  <c r="O71" i="1"/>
  <c r="R7" i="2"/>
  <c r="R23" i="2" s="1"/>
  <c r="Q20" i="8" s="1"/>
  <c r="O44" i="6"/>
  <c r="N25" i="6"/>
  <c r="O20" i="6"/>
  <c r="L44" i="2"/>
  <c r="K41" i="8" s="1"/>
  <c r="N52" i="6"/>
  <c r="N80" i="6"/>
  <c r="N75" i="6"/>
  <c r="O150" i="1"/>
  <c r="N81" i="6"/>
  <c r="U116" i="1"/>
  <c r="U93" i="1" s="1"/>
  <c r="V104" i="1"/>
  <c r="U105" i="1"/>
  <c r="U91" i="1" s="1"/>
  <c r="V126" i="1"/>
  <c r="U49" i="6"/>
  <c r="V113" i="1"/>
  <c r="N86" i="1"/>
  <c r="N81" i="1"/>
  <c r="O63" i="1"/>
  <c r="O56" i="1"/>
  <c r="O55" i="1"/>
  <c r="P34" i="1"/>
  <c r="P38" i="1" s="1"/>
  <c r="N108" i="1" l="1"/>
  <c r="N110" i="1" s="1"/>
  <c r="N92" i="1" s="1"/>
  <c r="AB46" i="1"/>
  <c r="P48" i="1"/>
  <c r="P30" i="1" s="1"/>
  <c r="P23" i="1" s="1"/>
  <c r="P120" i="1" s="1"/>
  <c r="R35" i="2"/>
  <c r="Q30" i="8" s="1"/>
  <c r="L89" i="6"/>
  <c r="K26" i="8"/>
  <c r="L80" i="2"/>
  <c r="L52" i="2"/>
  <c r="K50" i="8" s="1"/>
  <c r="L25" i="2"/>
  <c r="K22" i="8" s="1"/>
  <c r="L75" i="2"/>
  <c r="L81" i="2"/>
  <c r="K57" i="8" s="1"/>
  <c r="N82" i="6"/>
  <c r="O57" i="1"/>
  <c r="O22" i="1" s="1"/>
  <c r="P70" i="1"/>
  <c r="P43" i="6" s="1"/>
  <c r="R24" i="2"/>
  <c r="Q21" i="8" s="1"/>
  <c r="Q13" i="8"/>
  <c r="S8" i="2"/>
  <c r="R11" i="2"/>
  <c r="R9" i="2"/>
  <c r="N59" i="6"/>
  <c r="O29" i="6"/>
  <c r="N61" i="6"/>
  <c r="O28" i="6"/>
  <c r="O151" i="1"/>
  <c r="O152" i="1" s="1"/>
  <c r="V116" i="1"/>
  <c r="V93" i="1" s="1"/>
  <c r="W126" i="1"/>
  <c r="V49" i="6"/>
  <c r="W113" i="1"/>
  <c r="X113" i="1" s="1"/>
  <c r="W104" i="1"/>
  <c r="V105" i="1"/>
  <c r="V91" i="1" s="1"/>
  <c r="N75" i="1"/>
  <c r="P39" i="1"/>
  <c r="P18" i="6"/>
  <c r="O137" i="1"/>
  <c r="O142" i="1"/>
  <c r="P128" i="1"/>
  <c r="O84" i="1"/>
  <c r="O85" i="1"/>
  <c r="O80" i="1"/>
  <c r="O79" i="1"/>
  <c r="P60" i="1"/>
  <c r="P62" i="1" s="1"/>
  <c r="P42" i="6" s="1"/>
  <c r="Q33" i="1"/>
  <c r="Q36" i="1" s="1"/>
  <c r="O108" i="1" l="1"/>
  <c r="P49" i="1"/>
  <c r="Q43" i="1"/>
  <c r="Q36" i="6" s="1"/>
  <c r="M36" i="2" s="1"/>
  <c r="P19" i="6"/>
  <c r="P20" i="6" s="1"/>
  <c r="L61" i="2"/>
  <c r="L82" i="2"/>
  <c r="K58" i="8" s="1"/>
  <c r="L59" i="2"/>
  <c r="N83" i="6"/>
  <c r="O30" i="6"/>
  <c r="O144" i="1"/>
  <c r="O82" i="6" s="1"/>
  <c r="O143" i="1"/>
  <c r="O80" i="6" s="1"/>
  <c r="P71" i="1"/>
  <c r="S7" i="2"/>
  <c r="S35" i="2" s="1"/>
  <c r="P44" i="6"/>
  <c r="O25" i="6"/>
  <c r="O52" i="6"/>
  <c r="N45" i="6"/>
  <c r="O75" i="6"/>
  <c r="P150" i="1"/>
  <c r="O81" i="6"/>
  <c r="X116" i="1"/>
  <c r="X93" i="1" s="1"/>
  <c r="X104" i="1"/>
  <c r="W105" i="1"/>
  <c r="W91" i="1" s="1"/>
  <c r="W116" i="1"/>
  <c r="W93" i="1" s="1"/>
  <c r="X126" i="1"/>
  <c r="W49" i="6"/>
  <c r="O49" i="2" s="1"/>
  <c r="P129" i="1"/>
  <c r="P50" i="6"/>
  <c r="Y113" i="1"/>
  <c r="O81" i="1"/>
  <c r="O86" i="1"/>
  <c r="P56" i="1"/>
  <c r="P55" i="1"/>
  <c r="Q34" i="1"/>
  <c r="Q38" i="1" s="1"/>
  <c r="P63" i="1"/>
  <c r="O110" i="1" l="1"/>
  <c r="O92" i="1" s="1"/>
  <c r="Q44" i="1"/>
  <c r="Q128" i="1" s="1"/>
  <c r="L31" i="8"/>
  <c r="U49" i="2"/>
  <c r="T47" i="8" s="1"/>
  <c r="N47" i="8"/>
  <c r="S23" i="2"/>
  <c r="V23" i="2" s="1"/>
  <c r="U20" i="8" s="1"/>
  <c r="L83" i="2"/>
  <c r="O146" i="1"/>
  <c r="O147" i="1" s="1"/>
  <c r="O59" i="6" s="1"/>
  <c r="P57" i="1"/>
  <c r="P144" i="1" s="1"/>
  <c r="S24" i="2"/>
  <c r="V24" i="2" s="1"/>
  <c r="U21" i="8" s="1"/>
  <c r="V35" i="2"/>
  <c r="U30" i="8" s="1"/>
  <c r="R30" i="8"/>
  <c r="S9" i="2"/>
  <c r="R13" i="8"/>
  <c r="V7" i="2"/>
  <c r="S11" i="2"/>
  <c r="N46" i="6"/>
  <c r="L45" i="2"/>
  <c r="P29" i="6"/>
  <c r="O83" i="6"/>
  <c r="O61" i="6"/>
  <c r="P28" i="6"/>
  <c r="P151" i="1"/>
  <c r="P152" i="1" s="1"/>
  <c r="Y116" i="1"/>
  <c r="Y93" i="1" s="1"/>
  <c r="Y126" i="1"/>
  <c r="X49" i="6"/>
  <c r="Y104" i="1"/>
  <c r="X105" i="1"/>
  <c r="X91" i="1" s="1"/>
  <c r="O75" i="1"/>
  <c r="Q39" i="1"/>
  <c r="Q18" i="6"/>
  <c r="M18" i="2" s="1"/>
  <c r="P137" i="1"/>
  <c r="P142" i="1"/>
  <c r="Z113" i="1"/>
  <c r="P84" i="1"/>
  <c r="P85" i="1"/>
  <c r="P80" i="1"/>
  <c r="P79" i="1"/>
  <c r="R33" i="1"/>
  <c r="Q60" i="1"/>
  <c r="Q66" i="1" l="1"/>
  <c r="Q68" i="1" s="1"/>
  <c r="Q69" i="1" s="1"/>
  <c r="Q70" i="1" s="1"/>
  <c r="Q43" i="6" s="1"/>
  <c r="M43" i="2" s="1"/>
  <c r="L40" i="8" s="1"/>
  <c r="AC46" i="1"/>
  <c r="Q48" i="1"/>
  <c r="R20" i="8"/>
  <c r="L16" i="8"/>
  <c r="P22" i="1"/>
  <c r="P143" i="1"/>
  <c r="P146" i="1" s="1"/>
  <c r="P147" i="1" s="1"/>
  <c r="P30" i="6"/>
  <c r="R21" i="8"/>
  <c r="U13" i="8"/>
  <c r="V11" i="2"/>
  <c r="V9" i="2"/>
  <c r="N47" i="6"/>
  <c r="L46" i="2"/>
  <c r="K43" i="8" s="1"/>
  <c r="K44" i="8" s="1"/>
  <c r="P25" i="6"/>
  <c r="P75" i="6"/>
  <c r="P82" i="6"/>
  <c r="O45" i="6"/>
  <c r="P52" i="6"/>
  <c r="Q150" i="1"/>
  <c r="P81" i="6"/>
  <c r="Z116" i="1"/>
  <c r="Z93" i="1" s="1"/>
  <c r="Z104" i="1"/>
  <c r="Y105" i="1"/>
  <c r="Y91" i="1" s="1"/>
  <c r="Z126" i="1"/>
  <c r="Y49" i="6"/>
  <c r="Q129" i="1"/>
  <c r="Q50" i="6"/>
  <c r="AA113" i="1"/>
  <c r="P81" i="1"/>
  <c r="P86" i="1"/>
  <c r="Q62" i="1"/>
  <c r="Q42" i="6" s="1"/>
  <c r="R36" i="1"/>
  <c r="R34" i="1"/>
  <c r="P108" i="1" l="1"/>
  <c r="Q71" i="1"/>
  <c r="R43" i="1"/>
  <c r="Q19" i="6"/>
  <c r="M19" i="2" s="1"/>
  <c r="Q30" i="1"/>
  <c r="Q23" i="1" s="1"/>
  <c r="Q120" i="1" s="1"/>
  <c r="Q49" i="1"/>
  <c r="M42" i="2"/>
  <c r="L39" i="8" s="1"/>
  <c r="M50" i="2"/>
  <c r="L48" i="8" s="1"/>
  <c r="P80" i="6"/>
  <c r="Q44" i="6"/>
  <c r="L47" i="2"/>
  <c r="N34" i="6"/>
  <c r="N33" i="6"/>
  <c r="O46" i="6"/>
  <c r="P59" i="6"/>
  <c r="P61" i="6"/>
  <c r="AA116" i="1"/>
  <c r="AA93" i="1" s="1"/>
  <c r="AA126" i="1"/>
  <c r="Z49" i="6"/>
  <c r="AA104" i="1"/>
  <c r="Z105" i="1"/>
  <c r="Z91" i="1" s="1"/>
  <c r="P75" i="1"/>
  <c r="AB113" i="1"/>
  <c r="Q63" i="1"/>
  <c r="Q56" i="1"/>
  <c r="Q55" i="1"/>
  <c r="R38" i="1"/>
  <c r="P110" i="1" l="1"/>
  <c r="P92" i="1" s="1"/>
  <c r="Q57" i="1"/>
  <c r="Q144" i="1" s="1"/>
  <c r="Q20" i="6"/>
  <c r="L17" i="8"/>
  <c r="R36" i="6"/>
  <c r="R44" i="1"/>
  <c r="P49" i="2"/>
  <c r="O47" i="8" s="1"/>
  <c r="P83" i="6"/>
  <c r="O47" i="6"/>
  <c r="Q29" i="6"/>
  <c r="P45" i="6"/>
  <c r="Q28" i="6"/>
  <c r="M28" i="2" s="1"/>
  <c r="Q151" i="1"/>
  <c r="Q152" i="1" s="1"/>
  <c r="AB104" i="1"/>
  <c r="AA105" i="1"/>
  <c r="AA91" i="1" s="1"/>
  <c r="AB116" i="1"/>
  <c r="AB93" i="1" s="1"/>
  <c r="AB126" i="1"/>
  <c r="AA49" i="6"/>
  <c r="R18" i="6"/>
  <c r="Q137" i="1"/>
  <c r="Q142" i="1"/>
  <c r="R39" i="1"/>
  <c r="AC113" i="1"/>
  <c r="Q84" i="1"/>
  <c r="Q85" i="1"/>
  <c r="Q80" i="1"/>
  <c r="Q79" i="1"/>
  <c r="S33" i="1"/>
  <c r="R60" i="1"/>
  <c r="M20" i="2" l="1"/>
  <c r="L18" i="8" s="1"/>
  <c r="M29" i="2"/>
  <c r="L25" i="8" s="1"/>
  <c r="Q143" i="1"/>
  <c r="Q80" i="6" s="1"/>
  <c r="Q30" i="6"/>
  <c r="M30" i="2" s="1"/>
  <c r="L26" i="8" s="1"/>
  <c r="Q22" i="1"/>
  <c r="R48" i="1"/>
  <c r="AD46" i="1"/>
  <c r="R66" i="1"/>
  <c r="R68" i="1" s="1"/>
  <c r="R69" i="1" s="1"/>
  <c r="R70" i="1" s="1"/>
  <c r="R128" i="1"/>
  <c r="L24" i="8"/>
  <c r="L36" i="8" s="1"/>
  <c r="O34" i="6"/>
  <c r="O33" i="6"/>
  <c r="P46" i="6"/>
  <c r="Q25" i="6"/>
  <c r="M44" i="2"/>
  <c r="L41" i="8" s="1"/>
  <c r="L42" i="8" s="1"/>
  <c r="Q82" i="6"/>
  <c r="Q75" i="6"/>
  <c r="Q52" i="6"/>
  <c r="R150" i="1"/>
  <c r="Q81" i="6"/>
  <c r="AC116" i="1"/>
  <c r="AC93" i="1" s="1"/>
  <c r="AC126" i="1"/>
  <c r="AB49" i="6"/>
  <c r="AC104" i="1"/>
  <c r="AB105" i="1"/>
  <c r="AB91" i="1" s="1"/>
  <c r="AD113" i="1"/>
  <c r="Q81" i="1"/>
  <c r="Q86" i="1"/>
  <c r="R62" i="1"/>
  <c r="R42" i="6" s="1"/>
  <c r="S36" i="1"/>
  <c r="S34" i="1"/>
  <c r="Q108" i="1" l="1"/>
  <c r="Q146" i="1"/>
  <c r="Q147" i="1" s="1"/>
  <c r="Q59" i="6" s="1"/>
  <c r="R129" i="1"/>
  <c r="R50" i="6"/>
  <c r="R71" i="1"/>
  <c r="R43" i="6"/>
  <c r="R44" i="6" s="1"/>
  <c r="R49" i="1"/>
  <c r="S43" i="1"/>
  <c r="R19" i="6"/>
  <c r="R20" i="6" s="1"/>
  <c r="R30" i="1"/>
  <c r="R23" i="1" s="1"/>
  <c r="R120" i="1" s="1"/>
  <c r="M52" i="2"/>
  <c r="L50" i="8" s="1"/>
  <c r="M80" i="2"/>
  <c r="M25" i="2"/>
  <c r="L22" i="8" s="1"/>
  <c r="M75" i="2"/>
  <c r="M82" i="2"/>
  <c r="M81" i="2"/>
  <c r="L57" i="8" s="1"/>
  <c r="P47" i="6"/>
  <c r="Q83" i="6"/>
  <c r="Q61" i="6"/>
  <c r="AD104" i="1"/>
  <c r="AC105" i="1"/>
  <c r="AC91" i="1" s="1"/>
  <c r="AD116" i="1"/>
  <c r="AD93" i="1" s="1"/>
  <c r="AD126" i="1"/>
  <c r="AC49" i="6"/>
  <c r="Q75" i="1"/>
  <c r="AE113" i="1"/>
  <c r="R56" i="1"/>
  <c r="R55" i="1"/>
  <c r="R63" i="1"/>
  <c r="S38" i="1"/>
  <c r="Q110" i="1" l="1"/>
  <c r="Q92" i="1" s="1"/>
  <c r="R57" i="1"/>
  <c r="R30" i="6" s="1"/>
  <c r="S36" i="6"/>
  <c r="S44" i="1"/>
  <c r="L58" i="8"/>
  <c r="Q49" i="2"/>
  <c r="P47" i="8" s="1"/>
  <c r="M61" i="2"/>
  <c r="M83" i="2"/>
  <c r="M59" i="2"/>
  <c r="P33" i="6"/>
  <c r="P34" i="6"/>
  <c r="R29" i="6"/>
  <c r="Q45" i="6"/>
  <c r="R28" i="6"/>
  <c r="R151" i="1"/>
  <c r="R152" i="1" s="1"/>
  <c r="AE126" i="1"/>
  <c r="AD49" i="6"/>
  <c r="AE116" i="1"/>
  <c r="AE93" i="1" s="1"/>
  <c r="AE104" i="1"/>
  <c r="AD105" i="1"/>
  <c r="AD91" i="1" s="1"/>
  <c r="S18" i="6"/>
  <c r="R137" i="1"/>
  <c r="R142" i="1"/>
  <c r="S39" i="1"/>
  <c r="AF113" i="1"/>
  <c r="R84" i="1"/>
  <c r="R85" i="1"/>
  <c r="R80" i="1"/>
  <c r="R79" i="1"/>
  <c r="T33" i="1"/>
  <c r="T34" i="1" s="1"/>
  <c r="S60" i="1"/>
  <c r="R143" i="1" l="1"/>
  <c r="R22" i="1"/>
  <c r="R144" i="1"/>
  <c r="R82" i="6" s="1"/>
  <c r="S66" i="1"/>
  <c r="S68" i="1" s="1"/>
  <c r="S69" i="1" s="1"/>
  <c r="AE46" i="1"/>
  <c r="S128" i="1"/>
  <c r="S48" i="1"/>
  <c r="Q46" i="6"/>
  <c r="M45" i="2"/>
  <c r="R25" i="6"/>
  <c r="R52" i="6"/>
  <c r="R75" i="6"/>
  <c r="S150" i="1"/>
  <c r="R81" i="6"/>
  <c r="AF104" i="1"/>
  <c r="AE105" i="1"/>
  <c r="AE91" i="1" s="1"/>
  <c r="AF116" i="1"/>
  <c r="AF93" i="1" s="1"/>
  <c r="AF126" i="1"/>
  <c r="AE49" i="6"/>
  <c r="AG113" i="1"/>
  <c r="R81" i="1"/>
  <c r="R86" i="1"/>
  <c r="S62" i="1"/>
  <c r="S42" i="6" s="1"/>
  <c r="T36" i="1"/>
  <c r="T38" i="1" s="1"/>
  <c r="R108" i="1" l="1"/>
  <c r="R110" i="1" s="1"/>
  <c r="R92" i="1" s="1"/>
  <c r="R146" i="1"/>
  <c r="R147" i="1" s="1"/>
  <c r="R59" i="6" s="1"/>
  <c r="R80" i="6"/>
  <c r="R83" i="6" s="1"/>
  <c r="S49" i="1"/>
  <c r="T43" i="1"/>
  <c r="S19" i="6"/>
  <c r="S30" i="1"/>
  <c r="S23" i="1" s="1"/>
  <c r="S120" i="1" s="1"/>
  <c r="S129" i="1"/>
  <c r="S50" i="6"/>
  <c r="S70" i="1"/>
  <c r="S55" i="1" s="1"/>
  <c r="Q47" i="6"/>
  <c r="Q34" i="6" s="1"/>
  <c r="M46" i="2"/>
  <c r="L43" i="8" s="1"/>
  <c r="L44" i="8" s="1"/>
  <c r="R61" i="6"/>
  <c r="AG104" i="1"/>
  <c r="AF105" i="1"/>
  <c r="AF91" i="1" s="1"/>
  <c r="AG126" i="1"/>
  <c r="AF49" i="6"/>
  <c r="AG116" i="1"/>
  <c r="AG93" i="1" s="1"/>
  <c r="R75" i="1"/>
  <c r="T18" i="6"/>
  <c r="N18" i="2" s="1"/>
  <c r="T60" i="1"/>
  <c r="T62" i="1" s="1"/>
  <c r="T42" i="6" s="1"/>
  <c r="AH113" i="1"/>
  <c r="S56" i="1"/>
  <c r="S63" i="1"/>
  <c r="T39" i="1"/>
  <c r="U33" i="1"/>
  <c r="U36" i="1" s="1"/>
  <c r="S20" i="6" l="1"/>
  <c r="T36" i="6"/>
  <c r="N36" i="2" s="1"/>
  <c r="M31" i="8" s="1"/>
  <c r="T44" i="1"/>
  <c r="S71" i="1"/>
  <c r="S57" i="1" s="1"/>
  <c r="S43" i="6"/>
  <c r="S44" i="6" s="1"/>
  <c r="M34" i="2"/>
  <c r="L29" i="8" s="1"/>
  <c r="Q33" i="6"/>
  <c r="M16" i="8"/>
  <c r="R49" i="2"/>
  <c r="Q47" i="8" s="1"/>
  <c r="N42" i="2"/>
  <c r="M47" i="2"/>
  <c r="S29" i="6"/>
  <c r="R45" i="6"/>
  <c r="S28" i="6"/>
  <c r="S151" i="1"/>
  <c r="S152" i="1" s="1"/>
  <c r="AH126" i="1"/>
  <c r="AG49" i="6"/>
  <c r="AH116" i="1"/>
  <c r="AH93" i="1" s="1"/>
  <c r="AH104" i="1"/>
  <c r="AG105" i="1"/>
  <c r="AG91" i="1" s="1"/>
  <c r="S137" i="1"/>
  <c r="S142" i="1"/>
  <c r="AI113" i="1"/>
  <c r="S84" i="1"/>
  <c r="S85" i="1"/>
  <c r="S80" i="1"/>
  <c r="S79" i="1"/>
  <c r="U34" i="1"/>
  <c r="T63" i="1"/>
  <c r="S22" i="1" l="1"/>
  <c r="S30" i="6"/>
  <c r="S144" i="1"/>
  <c r="S82" i="6" s="1"/>
  <c r="T66" i="1"/>
  <c r="T68" i="1" s="1"/>
  <c r="AF46" i="1"/>
  <c r="T128" i="1"/>
  <c r="T48" i="1"/>
  <c r="S143" i="1"/>
  <c r="S80" i="6" s="1"/>
  <c r="M33" i="2"/>
  <c r="L28" i="8" s="1"/>
  <c r="M39" i="8"/>
  <c r="R46" i="6"/>
  <c r="S25" i="6"/>
  <c r="S75" i="6"/>
  <c r="S52" i="6"/>
  <c r="T150" i="1"/>
  <c r="S81" i="6"/>
  <c r="AI104" i="1"/>
  <c r="AI105" i="1" s="1"/>
  <c r="AI91" i="1" s="1"/>
  <c r="AH105" i="1"/>
  <c r="AH91" i="1" s="1"/>
  <c r="AI116" i="1"/>
  <c r="AI93" i="1" s="1"/>
  <c r="AI126" i="1"/>
  <c r="AI49" i="6" s="1"/>
  <c r="AH49" i="6"/>
  <c r="U38" i="1"/>
  <c r="S86" i="1"/>
  <c r="S81" i="1"/>
  <c r="S108" i="1" l="1"/>
  <c r="S110" i="1" s="1"/>
  <c r="S92" i="1" s="1"/>
  <c r="T19" i="6"/>
  <c r="N19" i="2" s="1"/>
  <c r="T49" i="1"/>
  <c r="U43" i="1"/>
  <c r="T30" i="1"/>
  <c r="T23" i="1" s="1"/>
  <c r="T120" i="1" s="1"/>
  <c r="T129" i="1"/>
  <c r="T50" i="6"/>
  <c r="N50" i="2" s="1"/>
  <c r="M48" i="8" s="1"/>
  <c r="T69" i="1"/>
  <c r="T70" i="1" s="1"/>
  <c r="T56" i="1"/>
  <c r="S146" i="1"/>
  <c r="S147" i="1" s="1"/>
  <c r="S59" i="6" s="1"/>
  <c r="R47" i="6"/>
  <c r="R33" i="6" s="1"/>
  <c r="S49" i="2"/>
  <c r="S83" i="6"/>
  <c r="S61" i="6"/>
  <c r="S75" i="1"/>
  <c r="U18" i="6"/>
  <c r="V33" i="1"/>
  <c r="V36" i="1" s="1"/>
  <c r="U60" i="1"/>
  <c r="U62" i="1" s="1"/>
  <c r="U39" i="1"/>
  <c r="T79" i="1" l="1"/>
  <c r="T28" i="6"/>
  <c r="N28" i="2" s="1"/>
  <c r="M24" i="8" s="1"/>
  <c r="M36" i="8" s="1"/>
  <c r="T80" i="1"/>
  <c r="T43" i="6"/>
  <c r="T71" i="1"/>
  <c r="T57" i="1" s="1"/>
  <c r="T55" i="1"/>
  <c r="U36" i="6"/>
  <c r="U44" i="1"/>
  <c r="T20" i="6"/>
  <c r="M17" i="8"/>
  <c r="V49" i="2"/>
  <c r="U47" i="8" s="1"/>
  <c r="R47" i="8"/>
  <c r="R34" i="6"/>
  <c r="U63" i="1"/>
  <c r="U42" i="6"/>
  <c r="S45" i="6"/>
  <c r="V34" i="1"/>
  <c r="V38" i="1" s="1"/>
  <c r="N20" i="2" l="1"/>
  <c r="M18" i="8" s="1"/>
  <c r="T137" i="1"/>
  <c r="T52" i="6" s="1"/>
  <c r="N52" i="2" s="1"/>
  <c r="M50" i="8" s="1"/>
  <c r="T142" i="1"/>
  <c r="T84" i="1"/>
  <c r="T85" i="1"/>
  <c r="T29" i="6"/>
  <c r="T151" i="1"/>
  <c r="T152" i="1" s="1"/>
  <c r="U48" i="1"/>
  <c r="AG46" i="1"/>
  <c r="U66" i="1"/>
  <c r="U68" i="1" s="1"/>
  <c r="U128" i="1"/>
  <c r="T144" i="1"/>
  <c r="T82" i="6" s="1"/>
  <c r="N82" i="2" s="1"/>
  <c r="T22" i="1"/>
  <c r="T143" i="1"/>
  <c r="T80" i="6" s="1"/>
  <c r="N80" i="2" s="1"/>
  <c r="T30" i="6"/>
  <c r="N30" i="2" s="1"/>
  <c r="N43" i="2"/>
  <c r="M40" i="8" s="1"/>
  <c r="T44" i="6"/>
  <c r="N44" i="2" s="1"/>
  <c r="M41" i="8" s="1"/>
  <c r="M42" i="8" s="1"/>
  <c r="T81" i="1"/>
  <c r="S46" i="6"/>
  <c r="V18" i="6"/>
  <c r="V39" i="1"/>
  <c r="W33" i="1"/>
  <c r="V60" i="1"/>
  <c r="V62" i="1" s="1"/>
  <c r="T108" i="1" l="1"/>
  <c r="T110" i="1" s="1"/>
  <c r="T92" i="1" s="1"/>
  <c r="T81" i="6"/>
  <c r="T83" i="6" s="1"/>
  <c r="N83" i="2" s="1"/>
  <c r="U150" i="1"/>
  <c r="T86" i="1"/>
  <c r="T75" i="1" s="1"/>
  <c r="T45" i="6" s="1"/>
  <c r="T46" i="6" s="1"/>
  <c r="T47" i="6" s="1"/>
  <c r="T33" i="6" s="1"/>
  <c r="U69" i="1"/>
  <c r="U56" i="1"/>
  <c r="U19" i="6"/>
  <c r="U20" i="6" s="1"/>
  <c r="V43" i="1"/>
  <c r="U49" i="1"/>
  <c r="U30" i="1"/>
  <c r="U23" i="1" s="1"/>
  <c r="U120" i="1" s="1"/>
  <c r="N29" i="2"/>
  <c r="T25" i="6"/>
  <c r="N25" i="2" s="1"/>
  <c r="M22" i="8" s="1"/>
  <c r="T146" i="1"/>
  <c r="T147" i="1" s="1"/>
  <c r="T59" i="6" s="1"/>
  <c r="N59" i="2" s="1"/>
  <c r="T75" i="6"/>
  <c r="N75" i="2" s="1"/>
  <c r="U129" i="1"/>
  <c r="U50" i="6"/>
  <c r="S47" i="6"/>
  <c r="S33" i="6" s="1"/>
  <c r="V42" i="6"/>
  <c r="V63" i="1"/>
  <c r="W36" i="1"/>
  <c r="W34" i="1"/>
  <c r="T34" i="6" l="1"/>
  <c r="M26" i="8"/>
  <c r="M25" i="8"/>
  <c r="U80" i="1"/>
  <c r="U28" i="6"/>
  <c r="U79" i="1"/>
  <c r="N81" i="2"/>
  <c r="T61" i="6"/>
  <c r="N61" i="2" s="1"/>
  <c r="V36" i="6"/>
  <c r="V44" i="1"/>
  <c r="V48" i="1" s="1"/>
  <c r="N45" i="2"/>
  <c r="N46" i="2"/>
  <c r="M43" i="8" s="1"/>
  <c r="M44" i="8" s="1"/>
  <c r="U70" i="1"/>
  <c r="N33" i="2"/>
  <c r="M28" i="8" s="1"/>
  <c r="S34" i="6"/>
  <c r="W38" i="1"/>
  <c r="N34" i="2" l="1"/>
  <c r="M29" i="8" s="1"/>
  <c r="U81" i="1"/>
  <c r="V19" i="6"/>
  <c r="W43" i="1"/>
  <c r="V49" i="1"/>
  <c r="V30" i="1"/>
  <c r="V23" i="1" s="1"/>
  <c r="V120" i="1" s="1"/>
  <c r="M57" i="8"/>
  <c r="M58" i="8"/>
  <c r="U43" i="6"/>
  <c r="U71" i="1"/>
  <c r="U57" i="1" s="1"/>
  <c r="U55" i="1"/>
  <c r="N47" i="2"/>
  <c r="AH46" i="1"/>
  <c r="V66" i="1"/>
  <c r="V68" i="1" s="1"/>
  <c r="V128" i="1"/>
  <c r="W18" i="6"/>
  <c r="O18" i="2" s="1"/>
  <c r="X33" i="1"/>
  <c r="W39" i="1"/>
  <c r="W60" i="1"/>
  <c r="W62" i="1" s="1"/>
  <c r="W42" i="6" s="1"/>
  <c r="V69" i="1" l="1"/>
  <c r="V56" i="1"/>
  <c r="W36" i="6"/>
  <c r="O36" i="2" s="1"/>
  <c r="W44" i="1"/>
  <c r="W48" i="1" s="1"/>
  <c r="U29" i="6"/>
  <c r="U25" i="6" s="1"/>
  <c r="U85" i="1"/>
  <c r="U84" i="1"/>
  <c r="U142" i="1"/>
  <c r="U137" i="1"/>
  <c r="U52" i="6" s="1"/>
  <c r="U151" i="1"/>
  <c r="U152" i="1" s="1"/>
  <c r="U44" i="6"/>
  <c r="V20" i="6"/>
  <c r="U30" i="6"/>
  <c r="U143" i="1"/>
  <c r="U80" i="6" s="1"/>
  <c r="U22" i="1"/>
  <c r="U144" i="1"/>
  <c r="U82" i="6" s="1"/>
  <c r="V129" i="1"/>
  <c r="V50" i="6"/>
  <c r="O42" i="2"/>
  <c r="W63" i="1"/>
  <c r="X36" i="1"/>
  <c r="X34" i="1"/>
  <c r="U108" i="1" l="1"/>
  <c r="U110" i="1" s="1"/>
  <c r="U92" i="1" s="1"/>
  <c r="U86" i="1"/>
  <c r="U75" i="1" s="1"/>
  <c r="U45" i="6" s="1"/>
  <c r="U46" i="6" s="1"/>
  <c r="U47" i="6" s="1"/>
  <c r="V150" i="1"/>
  <c r="U81" i="6"/>
  <c r="U61" i="6" s="1"/>
  <c r="N31" i="8"/>
  <c r="U36" i="2"/>
  <c r="T31" i="8" s="1"/>
  <c r="U75" i="6"/>
  <c r="U146" i="1"/>
  <c r="U147" i="1" s="1"/>
  <c r="U59" i="6" s="1"/>
  <c r="W49" i="1"/>
  <c r="X43" i="1"/>
  <c r="W19" i="6"/>
  <c r="O19" i="2" s="1"/>
  <c r="W30" i="1"/>
  <c r="W23" i="1" s="1"/>
  <c r="W120" i="1" s="1"/>
  <c r="U83" i="6"/>
  <c r="AI46" i="1"/>
  <c r="W128" i="1"/>
  <c r="W66" i="1"/>
  <c r="W68" i="1" s="1"/>
  <c r="V79" i="1"/>
  <c r="V28" i="6"/>
  <c r="V80" i="1"/>
  <c r="V70" i="1"/>
  <c r="N39" i="8"/>
  <c r="U42" i="2"/>
  <c r="T39" i="8" s="1"/>
  <c r="U18" i="2"/>
  <c r="T16" i="8" s="1"/>
  <c r="N16" i="8"/>
  <c r="X38" i="1"/>
  <c r="V81" i="1" l="1"/>
  <c r="W129" i="1"/>
  <c r="W50" i="6"/>
  <c r="O50" i="2" s="1"/>
  <c r="X36" i="6"/>
  <c r="X44" i="1"/>
  <c r="X48" i="1" s="1"/>
  <c r="X30" i="1" s="1"/>
  <c r="X23" i="1" s="1"/>
  <c r="X120" i="1" s="1"/>
  <c r="V43" i="6"/>
  <c r="V71" i="1"/>
  <c r="V57" i="1" s="1"/>
  <c r="V55" i="1"/>
  <c r="W69" i="1"/>
  <c r="W56" i="1"/>
  <c r="W20" i="6"/>
  <c r="U34" i="6"/>
  <c r="U33" i="6"/>
  <c r="X18" i="6"/>
  <c r="X39" i="1"/>
  <c r="Y33" i="1"/>
  <c r="Y34" i="1" s="1"/>
  <c r="X40" i="1"/>
  <c r="X60" i="1"/>
  <c r="X62" i="1" s="1"/>
  <c r="O20" i="2" l="1"/>
  <c r="U20" i="2" s="1"/>
  <c r="T18" i="8" s="1"/>
  <c r="U19" i="2"/>
  <c r="T17" i="8" s="1"/>
  <c r="N17" i="8"/>
  <c r="W80" i="1"/>
  <c r="W28" i="6"/>
  <c r="O28" i="2" s="1"/>
  <c r="N24" i="8" s="1"/>
  <c r="W79" i="1"/>
  <c r="W70" i="1"/>
  <c r="V144" i="1"/>
  <c r="V82" i="6" s="1"/>
  <c r="V30" i="6"/>
  <c r="V22" i="1"/>
  <c r="V143" i="1"/>
  <c r="V80" i="6" s="1"/>
  <c r="N48" i="8"/>
  <c r="U50" i="2"/>
  <c r="T48" i="8" s="1"/>
  <c r="V44" i="6"/>
  <c r="X50" i="1"/>
  <c r="X19" i="6"/>
  <c r="X20" i="6" s="1"/>
  <c r="Y43" i="1"/>
  <c r="X49" i="1"/>
  <c r="X128" i="1"/>
  <c r="X66" i="1"/>
  <c r="X68" i="1" s="1"/>
  <c r="X69" i="1" s="1"/>
  <c r="X70" i="1" s="1"/>
  <c r="V137" i="1"/>
  <c r="V52" i="6" s="1"/>
  <c r="V142" i="1"/>
  <c r="V85" i="1"/>
  <c r="V29" i="6"/>
  <c r="V25" i="6" s="1"/>
  <c r="V84" i="1"/>
  <c r="V151" i="1"/>
  <c r="V152" i="1" s="1"/>
  <c r="X42" i="6"/>
  <c r="Y36" i="1"/>
  <c r="Y38" i="1" s="1"/>
  <c r="Y60" i="1" s="1"/>
  <c r="Y62" i="1" s="1"/>
  <c r="Y42" i="6" s="1"/>
  <c r="X63" i="1"/>
  <c r="N18" i="8" l="1"/>
  <c r="N36" i="8"/>
  <c r="V108" i="1"/>
  <c r="V110" i="1" s="1"/>
  <c r="V92" i="1" s="1"/>
  <c r="W81" i="1"/>
  <c r="V86" i="1"/>
  <c r="V75" i="1" s="1"/>
  <c r="V45" i="6" s="1"/>
  <c r="V46" i="6" s="1"/>
  <c r="V47" i="6" s="1"/>
  <c r="X43" i="6"/>
  <c r="X44" i="6" s="1"/>
  <c r="X71" i="1"/>
  <c r="X57" i="1" s="1"/>
  <c r="X30" i="6" s="1"/>
  <c r="X55" i="1"/>
  <c r="X84" i="1" s="1"/>
  <c r="V75" i="6"/>
  <c r="V146" i="1"/>
  <c r="V147" i="1" s="1"/>
  <c r="V59" i="6" s="1"/>
  <c r="X50" i="6"/>
  <c r="X129" i="1"/>
  <c r="W43" i="6"/>
  <c r="W71" i="1"/>
  <c r="W57" i="1" s="1"/>
  <c r="W55" i="1"/>
  <c r="W150" i="1"/>
  <c r="V81" i="6"/>
  <c r="V83" i="6" s="1"/>
  <c r="Y36" i="6"/>
  <c r="Y44" i="1"/>
  <c r="U28" i="2"/>
  <c r="T24" i="8" s="1"/>
  <c r="X56" i="1"/>
  <c r="X79" i="1" s="1"/>
  <c r="Y18" i="6"/>
  <c r="Y40" i="1"/>
  <c r="Z33" i="1"/>
  <c r="Z34" i="1" s="1"/>
  <c r="Y39" i="1"/>
  <c r="Y63" i="1"/>
  <c r="X29" i="6" l="1"/>
  <c r="X25" i="6" s="1"/>
  <c r="X142" i="1"/>
  <c r="X75" i="6" s="1"/>
  <c r="X137" i="1"/>
  <c r="X52" i="6" s="1"/>
  <c r="X85" i="1"/>
  <c r="X86" i="1" s="1"/>
  <c r="V34" i="6"/>
  <c r="V33" i="6"/>
  <c r="X143" i="1"/>
  <c r="X80" i="6" s="1"/>
  <c r="X144" i="1"/>
  <c r="X22" i="1"/>
  <c r="X80" i="1"/>
  <c r="X81" i="1" s="1"/>
  <c r="X28" i="6"/>
  <c r="X151" i="1"/>
  <c r="W44" i="6"/>
  <c r="O44" i="2" s="1"/>
  <c r="O43" i="2"/>
  <c r="Y128" i="1"/>
  <c r="Y66" i="1"/>
  <c r="Y68" i="1" s="1"/>
  <c r="W30" i="6"/>
  <c r="O30" i="2" s="1"/>
  <c r="W144" i="1"/>
  <c r="W82" i="6" s="1"/>
  <c r="O82" i="2" s="1"/>
  <c r="U82" i="2" s="1"/>
  <c r="W22" i="1"/>
  <c r="W143" i="1"/>
  <c r="W80" i="6" s="1"/>
  <c r="W84" i="1"/>
  <c r="W85" i="1"/>
  <c r="W137" i="1"/>
  <c r="W52" i="6" s="1"/>
  <c r="O52" i="2" s="1"/>
  <c r="W142" i="1"/>
  <c r="W29" i="6"/>
  <c r="W151" i="1"/>
  <c r="W152" i="1" s="1"/>
  <c r="Y48" i="1"/>
  <c r="V61" i="6"/>
  <c r="Z36" i="1"/>
  <c r="Z38" i="1" s="1"/>
  <c r="X75" i="1" l="1"/>
  <c r="X45" i="6" s="1"/>
  <c r="X108" i="1"/>
  <c r="X110" i="1" s="1"/>
  <c r="X92" i="1" s="1"/>
  <c r="W108" i="1"/>
  <c r="W110" i="1" s="1"/>
  <c r="W92" i="1" s="1"/>
  <c r="X146" i="1"/>
  <c r="X82" i="6"/>
  <c r="Z43" i="1"/>
  <c r="Y19" i="6"/>
  <c r="Y50" i="1"/>
  <c r="Y49" i="1"/>
  <c r="Y30" i="1"/>
  <c r="Y23" i="1" s="1"/>
  <c r="Y120" i="1" s="1"/>
  <c r="O80" i="2"/>
  <c r="U80" i="2" s="1"/>
  <c r="Y69" i="1"/>
  <c r="Y70" i="1" s="1"/>
  <c r="Y56" i="1"/>
  <c r="N50" i="8"/>
  <c r="U52" i="2"/>
  <c r="T50" i="8" s="1"/>
  <c r="W86" i="1"/>
  <c r="W75" i="1" s="1"/>
  <c r="W45" i="6" s="1"/>
  <c r="Y129" i="1"/>
  <c r="Y50" i="6"/>
  <c r="O29" i="2"/>
  <c r="W25" i="6"/>
  <c r="O25" i="2" s="1"/>
  <c r="W146" i="1"/>
  <c r="W147" i="1" s="1"/>
  <c r="W59" i="6" s="1"/>
  <c r="O59" i="2" s="1"/>
  <c r="U59" i="2" s="1"/>
  <c r="W75" i="6"/>
  <c r="O75" i="2" s="1"/>
  <c r="U44" i="2"/>
  <c r="T41" i="8" s="1"/>
  <c r="N41" i="8"/>
  <c r="N42" i="8" s="1"/>
  <c r="X150" i="1"/>
  <c r="X152" i="1" s="1"/>
  <c r="W81" i="6"/>
  <c r="W83" i="6" s="1"/>
  <c r="O83" i="2" s="1"/>
  <c r="U83" i="2" s="1"/>
  <c r="N40" i="8"/>
  <c r="U43" i="2"/>
  <c r="T40" i="8" s="1"/>
  <c r="Z18" i="6"/>
  <c r="P18" i="2" s="1"/>
  <c r="AA33" i="1"/>
  <c r="Z39" i="1"/>
  <c r="Z40" i="1"/>
  <c r="Z60" i="1"/>
  <c r="Z62" i="1" s="1"/>
  <c r="Z42" i="6" s="1"/>
  <c r="X147" i="1" l="1"/>
  <c r="X59" i="6" s="1"/>
  <c r="O45" i="2"/>
  <c r="U45" i="2" s="1"/>
  <c r="W46" i="6"/>
  <c r="W61" i="6"/>
  <c r="O61" i="2" s="1"/>
  <c r="U61" i="2" s="1"/>
  <c r="O81" i="2"/>
  <c r="N58" i="8" s="1"/>
  <c r="Y80" i="1"/>
  <c r="Y28" i="6"/>
  <c r="Y79" i="1"/>
  <c r="U25" i="2"/>
  <c r="T22" i="8" s="1"/>
  <c r="N22" i="8"/>
  <c r="Y20" i="6"/>
  <c r="U75" i="2"/>
  <c r="U29" i="2"/>
  <c r="T25" i="8" s="1"/>
  <c r="N25" i="8"/>
  <c r="Z36" i="6"/>
  <c r="P36" i="2" s="1"/>
  <c r="O31" i="8" s="1"/>
  <c r="Z44" i="1"/>
  <c r="Z48" i="1" s="1"/>
  <c r="X81" i="6"/>
  <c r="Y150" i="1"/>
  <c r="Y43" i="6"/>
  <c r="Y71" i="1"/>
  <c r="Y57" i="1" s="1"/>
  <c r="Y55" i="1"/>
  <c r="Y151" i="1" s="1"/>
  <c r="O16" i="8"/>
  <c r="P42" i="2"/>
  <c r="X46" i="6"/>
  <c r="Z63" i="1"/>
  <c r="AA34" i="1"/>
  <c r="AA36" i="1"/>
  <c r="Y81" i="1" l="1"/>
  <c r="Y152" i="1"/>
  <c r="Y81" i="6" s="1"/>
  <c r="Y61" i="6" s="1"/>
  <c r="Y44" i="6"/>
  <c r="Y30" i="6"/>
  <c r="Y143" i="1"/>
  <c r="Y80" i="6" s="1"/>
  <c r="Y144" i="1"/>
  <c r="Y82" i="6" s="1"/>
  <c r="Y22" i="1"/>
  <c r="O46" i="2"/>
  <c r="W47" i="6"/>
  <c r="X61" i="6"/>
  <c r="X83" i="6"/>
  <c r="Z19" i="6"/>
  <c r="P19" i="2" s="1"/>
  <c r="AA43" i="1"/>
  <c r="Z49" i="1"/>
  <c r="Z50" i="1"/>
  <c r="Z30" i="1"/>
  <c r="Z23" i="1" s="1"/>
  <c r="Z120" i="1" s="1"/>
  <c r="Z66" i="1"/>
  <c r="Z68" i="1" s="1"/>
  <c r="Z128" i="1"/>
  <c r="N57" i="8"/>
  <c r="U81" i="2"/>
  <c r="T57" i="8" s="1"/>
  <c r="U30" i="2"/>
  <c r="T26" i="8" s="1"/>
  <c r="N26" i="8"/>
  <c r="Y85" i="1"/>
  <c r="Y142" i="1"/>
  <c r="Y84" i="1"/>
  <c r="Y137" i="1"/>
  <c r="Y52" i="6" s="1"/>
  <c r="Y29" i="6"/>
  <c r="Y25" i="6" s="1"/>
  <c r="O39" i="8"/>
  <c r="X47" i="6"/>
  <c r="AA38" i="1"/>
  <c r="AA60" i="1" s="1"/>
  <c r="AA62" i="1" s="1"/>
  <c r="Z150" i="1" l="1"/>
  <c r="Y108" i="1"/>
  <c r="Y110" i="1" s="1"/>
  <c r="Y92" i="1" s="1"/>
  <c r="T58" i="8"/>
  <c r="Y86" i="1"/>
  <c r="Y75" i="1" s="1"/>
  <c r="Y45" i="6" s="1"/>
  <c r="Y46" i="6" s="1"/>
  <c r="N43" i="8"/>
  <c r="N44" i="8" s="1"/>
  <c r="U46" i="2"/>
  <c r="O47" i="2"/>
  <c r="O17" i="8"/>
  <c r="Z20" i="6"/>
  <c r="Z129" i="1"/>
  <c r="Z50" i="6"/>
  <c r="P50" i="2" s="1"/>
  <c r="O48" i="8" s="1"/>
  <c r="Y75" i="6"/>
  <c r="Y146" i="1"/>
  <c r="Y147" i="1" s="1"/>
  <c r="Y59" i="6" s="1"/>
  <c r="W33" i="6"/>
  <c r="O33" i="2" s="1"/>
  <c r="U33" i="2" s="1"/>
  <c r="T28" i="8" s="1"/>
  <c r="W34" i="6"/>
  <c r="O34" i="2" s="1"/>
  <c r="U34" i="2" s="1"/>
  <c r="T29" i="8" s="1"/>
  <c r="Z69" i="1"/>
  <c r="Z70" i="1" s="1"/>
  <c r="Z56" i="1"/>
  <c r="Y83" i="6"/>
  <c r="AA36" i="6"/>
  <c r="AA44" i="1"/>
  <c r="AA48" i="1" s="1"/>
  <c r="AA18" i="6"/>
  <c r="AB33" i="1"/>
  <c r="AB34" i="1" s="1"/>
  <c r="AA63" i="1"/>
  <c r="AA42" i="6"/>
  <c r="AA39" i="1"/>
  <c r="AA40" i="1"/>
  <c r="X33" i="6"/>
  <c r="X34" i="6"/>
  <c r="P20" i="2" l="1"/>
  <c r="O18" i="8" s="1"/>
  <c r="N29" i="8"/>
  <c r="N28" i="8"/>
  <c r="AB43" i="1"/>
  <c r="AA19" i="6"/>
  <c r="AA20" i="6" s="1"/>
  <c r="AA49" i="1"/>
  <c r="AA50" i="1"/>
  <c r="AA66" i="1"/>
  <c r="AA68" i="1" s="1"/>
  <c r="AA128" i="1"/>
  <c r="AA30" i="1"/>
  <c r="AA23" i="1" s="1"/>
  <c r="AA120" i="1" s="1"/>
  <c r="Z28" i="6"/>
  <c r="P28" i="2" s="1"/>
  <c r="O24" i="8" s="1"/>
  <c r="O36" i="8" s="1"/>
  <c r="Z79" i="1"/>
  <c r="Z80" i="1"/>
  <c r="U47" i="2"/>
  <c r="T43" i="8"/>
  <c r="T44" i="8" s="1"/>
  <c r="Z43" i="6"/>
  <c r="Z71" i="1"/>
  <c r="Z57" i="1" s="1"/>
  <c r="Z55" i="1"/>
  <c r="AB36" i="1"/>
  <c r="AB38" i="1" s="1"/>
  <c r="Y47" i="6"/>
  <c r="T36" i="8" l="1"/>
  <c r="Z137" i="1"/>
  <c r="Z52" i="6" s="1"/>
  <c r="P52" i="2" s="1"/>
  <c r="O50" i="8" s="1"/>
  <c r="Z84" i="1"/>
  <c r="Z29" i="6"/>
  <c r="Z142" i="1"/>
  <c r="Z85" i="1"/>
  <c r="AA69" i="1"/>
  <c r="AA70" i="1" s="1"/>
  <c r="AA56" i="1"/>
  <c r="Z44" i="6"/>
  <c r="P44" i="2" s="1"/>
  <c r="O41" i="8" s="1"/>
  <c r="O42" i="8" s="1"/>
  <c r="P43" i="2"/>
  <c r="O40" i="8" s="1"/>
  <c r="Z81" i="1"/>
  <c r="AA129" i="1"/>
  <c r="AA50" i="6"/>
  <c r="AB36" i="6"/>
  <c r="AB44" i="1"/>
  <c r="Z30" i="6"/>
  <c r="P30" i="2" s="1"/>
  <c r="Z144" i="1"/>
  <c r="Z82" i="6" s="1"/>
  <c r="P82" i="2" s="1"/>
  <c r="Z22" i="1"/>
  <c r="Z143" i="1"/>
  <c r="Z80" i="6" s="1"/>
  <c r="Z151" i="1"/>
  <c r="Z152" i="1" s="1"/>
  <c r="Y33" i="6"/>
  <c r="Y34" i="6"/>
  <c r="AB18" i="6"/>
  <c r="AB40" i="1"/>
  <c r="AC33" i="1"/>
  <c r="AB39" i="1"/>
  <c r="AB60" i="1"/>
  <c r="AB62" i="1" s="1"/>
  <c r="AB42" i="6" s="1"/>
  <c r="Z108" i="1" l="1"/>
  <c r="AB48" i="1"/>
  <c r="AB66" i="1"/>
  <c r="AB68" i="1" s="1"/>
  <c r="AB69" i="1" s="1"/>
  <c r="AB70" i="1" s="1"/>
  <c r="AB55" i="1" s="1"/>
  <c r="AB128" i="1"/>
  <c r="AA28" i="6"/>
  <c r="AA79" i="1"/>
  <c r="AA80" i="1"/>
  <c r="P80" i="2"/>
  <c r="P29" i="2"/>
  <c r="Z25" i="6"/>
  <c r="P25" i="2" s="1"/>
  <c r="O22" i="8" s="1"/>
  <c r="AA150" i="1"/>
  <c r="Z81" i="6"/>
  <c r="Z83" i="6" s="1"/>
  <c r="P83" i="2" s="1"/>
  <c r="Z75" i="6"/>
  <c r="P75" i="2" s="1"/>
  <c r="Z146" i="1"/>
  <c r="Z147" i="1" s="1"/>
  <c r="Z59" i="6" s="1"/>
  <c r="P59" i="2" s="1"/>
  <c r="Z86" i="1"/>
  <c r="Z75" i="1" s="1"/>
  <c r="Z45" i="6" s="1"/>
  <c r="AA43" i="6"/>
  <c r="AA71" i="1"/>
  <c r="AA57" i="1" s="1"/>
  <c r="AA55" i="1"/>
  <c r="AB63" i="1"/>
  <c r="AC34" i="1"/>
  <c r="AC36" i="1"/>
  <c r="AB56" i="1" l="1"/>
  <c r="AB28" i="6" s="1"/>
  <c r="Z110" i="1"/>
  <c r="Z92" i="1" s="1"/>
  <c r="Z46" i="6"/>
  <c r="Z47" i="6" s="1"/>
  <c r="Z33" i="6" s="1"/>
  <c r="P45" i="2"/>
  <c r="AA44" i="6"/>
  <c r="O26" i="8"/>
  <c r="O25" i="8"/>
  <c r="AA142" i="1"/>
  <c r="AA137" i="1"/>
  <c r="AA52" i="6" s="1"/>
  <c r="AA84" i="1"/>
  <c r="AA29" i="6"/>
  <c r="AA25" i="6" s="1"/>
  <c r="AA85" i="1"/>
  <c r="AA151" i="1"/>
  <c r="AA152" i="1" s="1"/>
  <c r="AB50" i="6"/>
  <c r="AB129" i="1"/>
  <c r="AC43" i="1"/>
  <c r="AB49" i="1"/>
  <c r="AB50" i="1"/>
  <c r="AB19" i="6"/>
  <c r="AB30" i="1"/>
  <c r="AB23" i="1" s="1"/>
  <c r="AB120" i="1" s="1"/>
  <c r="AA81" i="1"/>
  <c r="AA30" i="6"/>
  <c r="AA22" i="1"/>
  <c r="AA144" i="1"/>
  <c r="AA82" i="6" s="1"/>
  <c r="AA143" i="1"/>
  <c r="AA80" i="6" s="1"/>
  <c r="AB71" i="1"/>
  <c r="AB57" i="1" s="1"/>
  <c r="AB43" i="6"/>
  <c r="AB44" i="6" s="1"/>
  <c r="P81" i="2"/>
  <c r="O57" i="8" s="1"/>
  <c r="Z61" i="6"/>
  <c r="P61" i="2" s="1"/>
  <c r="AB29" i="6"/>
  <c r="AC38" i="1"/>
  <c r="AC39" i="1" s="1"/>
  <c r="AB137" i="1"/>
  <c r="AB142" i="1"/>
  <c r="AB84" i="1"/>
  <c r="AB85" i="1"/>
  <c r="AB80" i="1" l="1"/>
  <c r="AB79" i="1"/>
  <c r="AB151" i="1"/>
  <c r="AA108" i="1"/>
  <c r="P46" i="2"/>
  <c r="O43" i="8" s="1"/>
  <c r="O44" i="8" s="1"/>
  <c r="AB30" i="6"/>
  <c r="AB22" i="1"/>
  <c r="AB143" i="1"/>
  <c r="AB80" i="6" s="1"/>
  <c r="AB144" i="1"/>
  <c r="AB82" i="6" s="1"/>
  <c r="AB150" i="1"/>
  <c r="AA81" i="6"/>
  <c r="AA61" i="6" s="1"/>
  <c r="AA146" i="1"/>
  <c r="AA147" i="1" s="1"/>
  <c r="AA59" i="6" s="1"/>
  <c r="AA75" i="6"/>
  <c r="AA86" i="1"/>
  <c r="AA75" i="1" s="1"/>
  <c r="AA45" i="6" s="1"/>
  <c r="AA46" i="6" s="1"/>
  <c r="O58" i="8"/>
  <c r="AB20" i="6"/>
  <c r="AB25" i="6" s="1"/>
  <c r="AC36" i="6"/>
  <c r="Q36" i="2" s="1"/>
  <c r="P31" i="8" s="1"/>
  <c r="AC44" i="1"/>
  <c r="AC48" i="1" s="1"/>
  <c r="AC30" i="1" s="1"/>
  <c r="AC23" i="1" s="1"/>
  <c r="AC120" i="1" s="1"/>
  <c r="Z34" i="6"/>
  <c r="P34" i="2" s="1"/>
  <c r="O29" i="8" s="1"/>
  <c r="P33" i="2"/>
  <c r="O28" i="8" s="1"/>
  <c r="AB75" i="6"/>
  <c r="AB52" i="6"/>
  <c r="AC18" i="6"/>
  <c r="Q18" i="2" s="1"/>
  <c r="AC60" i="1"/>
  <c r="AC62" i="1" s="1"/>
  <c r="AC40" i="1"/>
  <c r="AD33" i="1"/>
  <c r="AD34" i="1" s="1"/>
  <c r="AB86" i="1"/>
  <c r="AB81" i="1" l="1"/>
  <c r="AB75" i="1" s="1"/>
  <c r="AA110" i="1"/>
  <c r="AA92" i="1" s="1"/>
  <c r="AB152" i="1"/>
  <c r="AC150" i="1" s="1"/>
  <c r="AA83" i="6"/>
  <c r="P47" i="2"/>
  <c r="AB108" i="1"/>
  <c r="AB110" i="1" s="1"/>
  <c r="AB92" i="1" s="1"/>
  <c r="AB146" i="1"/>
  <c r="AB147" i="1" s="1"/>
  <c r="AB59" i="6" s="1"/>
  <c r="AC19" i="6"/>
  <c r="AD43" i="1"/>
  <c r="AC49" i="1"/>
  <c r="AC50" i="1"/>
  <c r="AC66" i="1"/>
  <c r="AC68" i="1" s="1"/>
  <c r="AC69" i="1" s="1"/>
  <c r="AC70" i="1" s="1"/>
  <c r="AC128" i="1"/>
  <c r="P16" i="8"/>
  <c r="AC42" i="6"/>
  <c r="AC63" i="1"/>
  <c r="AA47" i="6"/>
  <c r="AD36" i="1"/>
  <c r="AD38" i="1" s="1"/>
  <c r="Q19" i="2" l="1"/>
  <c r="P17" i="8" s="1"/>
  <c r="AB81" i="6"/>
  <c r="AB83" i="6" s="1"/>
  <c r="AC20" i="6"/>
  <c r="AC43" i="6"/>
  <c r="Q43" i="2" s="1"/>
  <c r="P40" i="8" s="1"/>
  <c r="AC71" i="1"/>
  <c r="AC57" i="1" s="1"/>
  <c r="AD36" i="6"/>
  <c r="AD44" i="1"/>
  <c r="AD48" i="1" s="1"/>
  <c r="AD30" i="1" s="1"/>
  <c r="AD23" i="1" s="1"/>
  <c r="AD120" i="1" s="1"/>
  <c r="AC56" i="1"/>
  <c r="AC28" i="6" s="1"/>
  <c r="Q28" i="2" s="1"/>
  <c r="P24" i="8" s="1"/>
  <c r="AC50" i="6"/>
  <c r="Q50" i="2" s="1"/>
  <c r="P48" i="8" s="1"/>
  <c r="AC129" i="1"/>
  <c r="AC55" i="1"/>
  <c r="AC137" i="1" s="1"/>
  <c r="Q42" i="2"/>
  <c r="AA33" i="6"/>
  <c r="AA34" i="6"/>
  <c r="AB45" i="6"/>
  <c r="AE33" i="1"/>
  <c r="AE34" i="1" s="1"/>
  <c r="AD40" i="1"/>
  <c r="AD39" i="1"/>
  <c r="AD60" i="1"/>
  <c r="AD62" i="1" s="1"/>
  <c r="AD18" i="6"/>
  <c r="Q20" i="2" l="1"/>
  <c r="P18" i="8" s="1"/>
  <c r="AB61" i="6"/>
  <c r="P36" i="8"/>
  <c r="AC22" i="1"/>
  <c r="AC30" i="6"/>
  <c r="Q30" i="2" s="1"/>
  <c r="AC143" i="1"/>
  <c r="AC80" i="6" s="1"/>
  <c r="Q80" i="2" s="1"/>
  <c r="AC144" i="1"/>
  <c r="AC82" i="6" s="1"/>
  <c r="Q82" i="2" s="1"/>
  <c r="AC84" i="1"/>
  <c r="AC29" i="6"/>
  <c r="AC25" i="6" s="1"/>
  <c r="AC44" i="6"/>
  <c r="Q44" i="2" s="1"/>
  <c r="P41" i="8" s="1"/>
  <c r="P42" i="8" s="1"/>
  <c r="AC142" i="1"/>
  <c r="AC75" i="6" s="1"/>
  <c r="AC151" i="1"/>
  <c r="AC152" i="1" s="1"/>
  <c r="AC81" i="6" s="1"/>
  <c r="AD128" i="1"/>
  <c r="AD66" i="1"/>
  <c r="AD68" i="1" s="1"/>
  <c r="AD69" i="1" s="1"/>
  <c r="AD70" i="1" s="1"/>
  <c r="AD55" i="1" s="1"/>
  <c r="AC85" i="1"/>
  <c r="AC79" i="1"/>
  <c r="AD49" i="1"/>
  <c r="AE43" i="1"/>
  <c r="AD19" i="6"/>
  <c r="AD20" i="6" s="1"/>
  <c r="AD50" i="1"/>
  <c r="AC80" i="1"/>
  <c r="AE36" i="1"/>
  <c r="AE38" i="1" s="1"/>
  <c r="AD63" i="1"/>
  <c r="AD42" i="6"/>
  <c r="P39" i="8"/>
  <c r="AB46" i="6"/>
  <c r="AC52" i="6"/>
  <c r="AC83" i="6" l="1"/>
  <c r="Q83" i="2" s="1"/>
  <c r="Q29" i="2"/>
  <c r="P25" i="8" s="1"/>
  <c r="AC108" i="1"/>
  <c r="AD150" i="1"/>
  <c r="AC86" i="1"/>
  <c r="AC61" i="6"/>
  <c r="Q61" i="2" s="1"/>
  <c r="AC146" i="1"/>
  <c r="AC147" i="1" s="1"/>
  <c r="AC59" i="6" s="1"/>
  <c r="Q81" i="2"/>
  <c r="P57" i="8" s="1"/>
  <c r="AC81" i="1"/>
  <c r="AD56" i="1"/>
  <c r="AD79" i="1" s="1"/>
  <c r="AE36" i="6"/>
  <c r="AE44" i="1"/>
  <c r="AE48" i="1" s="1"/>
  <c r="AE30" i="1" s="1"/>
  <c r="AE23" i="1" s="1"/>
  <c r="AE120" i="1" s="1"/>
  <c r="AD129" i="1"/>
  <c r="AD50" i="6"/>
  <c r="AD71" i="1"/>
  <c r="AD57" i="1" s="1"/>
  <c r="AD43" i="6"/>
  <c r="AD44" i="6" s="1"/>
  <c r="Q75" i="2"/>
  <c r="AB47" i="6"/>
  <c r="AB33" i="6" s="1"/>
  <c r="Q52" i="2"/>
  <c r="P50" i="8" s="1"/>
  <c r="Q25" i="2"/>
  <c r="P22" i="8" s="1"/>
  <c r="AD29" i="6"/>
  <c r="AD142" i="1"/>
  <c r="AD85" i="1"/>
  <c r="AD137" i="1"/>
  <c r="AD84" i="1"/>
  <c r="AE18" i="6"/>
  <c r="AE60" i="1"/>
  <c r="AE62" i="1" s="1"/>
  <c r="AE39" i="1"/>
  <c r="AF33" i="1"/>
  <c r="AF34" i="1" s="1"/>
  <c r="AE40" i="1"/>
  <c r="P26" i="8" l="1"/>
  <c r="AC110" i="1"/>
  <c r="AC92" i="1" s="1"/>
  <c r="AD151" i="1"/>
  <c r="AD152" i="1" s="1"/>
  <c r="AD28" i="6"/>
  <c r="AD80" i="1"/>
  <c r="AD81" i="1" s="1"/>
  <c r="AC75" i="1"/>
  <c r="AC45" i="6" s="1"/>
  <c r="AC46" i="6" s="1"/>
  <c r="P58" i="8"/>
  <c r="AD30" i="6"/>
  <c r="AD143" i="1"/>
  <c r="AD80" i="6" s="1"/>
  <c r="AD144" i="1"/>
  <c r="AD82" i="6" s="1"/>
  <c r="AD22" i="1"/>
  <c r="AE19" i="6"/>
  <c r="AE20" i="6" s="1"/>
  <c r="AE49" i="1"/>
  <c r="AE50" i="1"/>
  <c r="AF43" i="1"/>
  <c r="AE66" i="1"/>
  <c r="AE68" i="1" s="1"/>
  <c r="AE69" i="1" s="1"/>
  <c r="AE70" i="1" s="1"/>
  <c r="AE55" i="1" s="1"/>
  <c r="AE128" i="1"/>
  <c r="AB34" i="6"/>
  <c r="Q59" i="2"/>
  <c r="AE42" i="6"/>
  <c r="AD25" i="6"/>
  <c r="AD52" i="6"/>
  <c r="AE150" i="1"/>
  <c r="AD81" i="6"/>
  <c r="AD75" i="6"/>
  <c r="AD86" i="1"/>
  <c r="AE63" i="1"/>
  <c r="AF36" i="1"/>
  <c r="AF38" i="1" s="1"/>
  <c r="AD108" i="1" l="1"/>
  <c r="AD110" i="1" s="1"/>
  <c r="AD92" i="1" s="1"/>
  <c r="AD146" i="1"/>
  <c r="AD147" i="1" s="1"/>
  <c r="AD59" i="6" s="1"/>
  <c r="Q45" i="2"/>
  <c r="AE129" i="1"/>
  <c r="AE50" i="6"/>
  <c r="AE56" i="1"/>
  <c r="AE28" i="6" s="1"/>
  <c r="AE43" i="6"/>
  <c r="AE44" i="6" s="1"/>
  <c r="AE71" i="1"/>
  <c r="AE57" i="1" s="1"/>
  <c r="AF36" i="6"/>
  <c r="R36" i="2" s="1"/>
  <c r="Q31" i="8" s="1"/>
  <c r="AF44" i="1"/>
  <c r="AC47" i="6"/>
  <c r="AC34" i="6" s="1"/>
  <c r="Q34" i="2" s="1"/>
  <c r="P29" i="8" s="1"/>
  <c r="AD83" i="6"/>
  <c r="Q46" i="2"/>
  <c r="P43" i="8" s="1"/>
  <c r="P44" i="8" s="1"/>
  <c r="AD61" i="6"/>
  <c r="AD75" i="1"/>
  <c r="AD45" i="6" s="1"/>
  <c r="AF18" i="6"/>
  <c r="R18" i="2" s="1"/>
  <c r="AE142" i="1"/>
  <c r="AE29" i="6"/>
  <c r="AE84" i="1"/>
  <c r="AE137" i="1"/>
  <c r="AE85" i="1"/>
  <c r="AF40" i="1"/>
  <c r="AF60" i="1"/>
  <c r="AF62" i="1" s="1"/>
  <c r="AF42" i="6" s="1"/>
  <c r="AG33" i="1"/>
  <c r="AG34" i="1" s="1"/>
  <c r="AF39" i="1"/>
  <c r="AE80" i="1" l="1"/>
  <c r="AE151" i="1"/>
  <c r="AE152" i="1" s="1"/>
  <c r="AE81" i="6" s="1"/>
  <c r="AE143" i="1"/>
  <c r="AE80" i="6" s="1"/>
  <c r="AE22" i="1"/>
  <c r="AE144" i="1"/>
  <c r="AE82" i="6" s="1"/>
  <c r="AE30" i="6"/>
  <c r="AF128" i="1"/>
  <c r="AF66" i="1"/>
  <c r="AF68" i="1" s="1"/>
  <c r="AF69" i="1" s="1"/>
  <c r="AF70" i="1" s="1"/>
  <c r="AF55" i="1" s="1"/>
  <c r="AF48" i="1"/>
  <c r="AE79" i="1"/>
  <c r="AC33" i="6"/>
  <c r="Q33" i="2" s="1"/>
  <c r="P28" i="8" s="1"/>
  <c r="Q16" i="8"/>
  <c r="R42" i="2"/>
  <c r="Q47" i="2"/>
  <c r="AD46" i="6"/>
  <c r="AE52" i="6"/>
  <c r="AE75" i="6"/>
  <c r="AE25" i="6"/>
  <c r="AG36" i="1"/>
  <c r="AG38" i="1" s="1"/>
  <c r="AE86" i="1"/>
  <c r="AF63" i="1"/>
  <c r="AE81" i="1" l="1"/>
  <c r="AE75" i="1" s="1"/>
  <c r="AE45" i="6" s="1"/>
  <c r="AE108" i="1"/>
  <c r="AE110" i="1" s="1"/>
  <c r="AE92" i="1" s="1"/>
  <c r="AE146" i="1"/>
  <c r="AE147" i="1" s="1"/>
  <c r="AE59" i="6" s="1"/>
  <c r="AF150" i="1"/>
  <c r="AF56" i="1"/>
  <c r="AF80" i="1" s="1"/>
  <c r="AF71" i="1"/>
  <c r="AF57" i="1" s="1"/>
  <c r="AF43" i="6"/>
  <c r="AF129" i="1"/>
  <c r="AF50" i="6"/>
  <c r="R50" i="2" s="1"/>
  <c r="Q48" i="8" s="1"/>
  <c r="AF19" i="6"/>
  <c r="R19" i="2" s="1"/>
  <c r="AF50" i="1"/>
  <c r="AF49" i="1"/>
  <c r="AG43" i="1"/>
  <c r="AF30" i="1"/>
  <c r="AF23" i="1" s="1"/>
  <c r="AF120" i="1" s="1"/>
  <c r="Q39" i="8"/>
  <c r="AD47" i="6"/>
  <c r="AD33" i="6" s="1"/>
  <c r="AE61" i="6"/>
  <c r="AE83" i="6"/>
  <c r="AF29" i="6"/>
  <c r="AG18" i="6"/>
  <c r="AF137" i="1"/>
  <c r="AF142" i="1"/>
  <c r="AF84" i="1"/>
  <c r="AF85" i="1"/>
  <c r="AG40" i="1"/>
  <c r="AG39" i="1"/>
  <c r="AH33" i="1"/>
  <c r="AG60" i="1"/>
  <c r="AG62" i="1" s="1"/>
  <c r="AG42" i="6" s="1"/>
  <c r="AF28" i="6" l="1"/>
  <c r="R28" i="2" s="1"/>
  <c r="Q24" i="8" s="1"/>
  <c r="Q36" i="8" s="1"/>
  <c r="R29" i="2"/>
  <c r="Q25" i="8" s="1"/>
  <c r="AF151" i="1"/>
  <c r="AF152" i="1" s="1"/>
  <c r="AG150" i="1" s="1"/>
  <c r="AF79" i="1"/>
  <c r="AF81" i="1" s="1"/>
  <c r="AF30" i="6"/>
  <c r="R30" i="2" s="1"/>
  <c r="Q26" i="8" s="1"/>
  <c r="AF22" i="1"/>
  <c r="AF143" i="1"/>
  <c r="AF80" i="6" s="1"/>
  <c r="AF144" i="1"/>
  <c r="AF82" i="6" s="1"/>
  <c r="R43" i="2"/>
  <c r="AF44" i="6"/>
  <c r="R44" i="2" s="1"/>
  <c r="Q41" i="8" s="1"/>
  <c r="Q42" i="8" s="1"/>
  <c r="AG36" i="6"/>
  <c r="AG44" i="1"/>
  <c r="Q17" i="8"/>
  <c r="AF20" i="6"/>
  <c r="AD34" i="6"/>
  <c r="AE46" i="6"/>
  <c r="AF75" i="6"/>
  <c r="AF52" i="6"/>
  <c r="AF86" i="1"/>
  <c r="AG63" i="1"/>
  <c r="AH34" i="1"/>
  <c r="AH36" i="1"/>
  <c r="R20" i="2" l="1"/>
  <c r="Q18" i="8" s="1"/>
  <c r="AF81" i="6"/>
  <c r="AF61" i="6" s="1"/>
  <c r="AF108" i="1"/>
  <c r="AF146" i="1"/>
  <c r="AF147" i="1" s="1"/>
  <c r="AF59" i="6" s="1"/>
  <c r="Q40" i="8"/>
  <c r="AG128" i="1"/>
  <c r="AG66" i="1"/>
  <c r="AG68" i="1" s="1"/>
  <c r="AG48" i="1"/>
  <c r="AF25" i="6"/>
  <c r="R82" i="2"/>
  <c r="R25" i="2"/>
  <c r="Q22" i="8" s="1"/>
  <c r="R52" i="2"/>
  <c r="Q50" i="8" s="1"/>
  <c r="R81" i="2"/>
  <c r="Q57" i="8" s="1"/>
  <c r="R75" i="2"/>
  <c r="R80" i="2"/>
  <c r="AH38" i="1"/>
  <c r="AH18" i="6" s="1"/>
  <c r="AE47" i="6"/>
  <c r="AE34" i="6" s="1"/>
  <c r="AF83" i="6"/>
  <c r="AF75" i="1"/>
  <c r="AF110" i="1" l="1"/>
  <c r="AF92" i="1" s="1"/>
  <c r="AG129" i="1"/>
  <c r="AG50" i="6"/>
  <c r="AH43" i="1"/>
  <c r="AG50" i="1"/>
  <c r="AG19" i="6"/>
  <c r="AG49" i="1"/>
  <c r="AG30" i="1"/>
  <c r="AG23" i="1" s="1"/>
  <c r="AG120" i="1" s="1"/>
  <c r="AG69" i="1"/>
  <c r="AG70" i="1" s="1"/>
  <c r="AG56" i="1"/>
  <c r="AE33" i="6"/>
  <c r="Q58" i="8"/>
  <c r="R83" i="2"/>
  <c r="R61" i="2"/>
  <c r="R59" i="2"/>
  <c r="AH40" i="1"/>
  <c r="AH39" i="1"/>
  <c r="AH60" i="1"/>
  <c r="AH62" i="1" s="1"/>
  <c r="AH63" i="1" s="1"/>
  <c r="AI33" i="1"/>
  <c r="AI36" i="1" s="1"/>
  <c r="AF45" i="6"/>
  <c r="AG20" i="6" l="1"/>
  <c r="AH36" i="6"/>
  <c r="AH44" i="1"/>
  <c r="AH48" i="1" s="1"/>
  <c r="AG80" i="1"/>
  <c r="AG79" i="1"/>
  <c r="AG28" i="6"/>
  <c r="AG43" i="6"/>
  <c r="AG71" i="1"/>
  <c r="AG57" i="1" s="1"/>
  <c r="AG55" i="1"/>
  <c r="AI34" i="1"/>
  <c r="AH42" i="6"/>
  <c r="AF46" i="6"/>
  <c r="R45" i="2"/>
  <c r="AG81" i="1" l="1"/>
  <c r="AH50" i="1"/>
  <c r="AH49" i="1"/>
  <c r="AI43" i="1"/>
  <c r="AH19" i="6"/>
  <c r="AH30" i="1"/>
  <c r="AH23" i="1" s="1"/>
  <c r="AH120" i="1" s="1"/>
  <c r="AH128" i="1"/>
  <c r="AH66" i="1"/>
  <c r="AH68" i="1" s="1"/>
  <c r="AG142" i="1"/>
  <c r="AG84" i="1"/>
  <c r="AG29" i="6"/>
  <c r="AG25" i="6" s="1"/>
  <c r="AG137" i="1"/>
  <c r="AG52" i="6" s="1"/>
  <c r="AG85" i="1"/>
  <c r="AG144" i="1"/>
  <c r="AG82" i="6" s="1"/>
  <c r="AG30" i="6"/>
  <c r="AG143" i="1"/>
  <c r="AG80" i="6" s="1"/>
  <c r="AG22" i="1"/>
  <c r="AG44" i="6"/>
  <c r="AG151" i="1"/>
  <c r="AG152" i="1" s="1"/>
  <c r="AI38" i="1"/>
  <c r="AF47" i="6"/>
  <c r="R46" i="2"/>
  <c r="Q43" i="8" s="1"/>
  <c r="Q44" i="8" s="1"/>
  <c r="AG108" i="1" l="1"/>
  <c r="AG110" i="1" s="1"/>
  <c r="AG92" i="1" s="1"/>
  <c r="AH20" i="6"/>
  <c r="AI36" i="6"/>
  <c r="S36" i="2" s="1"/>
  <c r="AI44" i="1"/>
  <c r="AI48" i="1" s="1"/>
  <c r="AI30" i="1" s="1"/>
  <c r="AI23" i="1" s="1"/>
  <c r="AI120" i="1" s="1"/>
  <c r="AG146" i="1"/>
  <c r="AG147" i="1" s="1"/>
  <c r="AG59" i="6" s="1"/>
  <c r="AG75" i="6"/>
  <c r="AH69" i="1"/>
  <c r="AH70" i="1" s="1"/>
  <c r="AH56" i="1"/>
  <c r="AH150" i="1"/>
  <c r="AG81" i="6"/>
  <c r="AG61" i="6" s="1"/>
  <c r="AG86" i="1"/>
  <c r="AG75" i="1" s="1"/>
  <c r="AG45" i="6" s="1"/>
  <c r="AG46" i="6" s="1"/>
  <c r="AH129" i="1"/>
  <c r="AH50" i="6"/>
  <c r="AI60" i="1"/>
  <c r="AI62" i="1" s="1"/>
  <c r="AI42" i="6" s="1"/>
  <c r="AI39" i="1"/>
  <c r="AI40" i="1"/>
  <c r="AI18" i="6"/>
  <c r="S18" i="2" s="1"/>
  <c r="R47" i="2"/>
  <c r="AF33" i="6"/>
  <c r="AF34" i="6"/>
  <c r="AH80" i="1" l="1"/>
  <c r="AH28" i="6"/>
  <c r="AH79" i="1"/>
  <c r="R31" i="8"/>
  <c r="V36" i="2"/>
  <c r="U31" i="8" s="1"/>
  <c r="AH71" i="1"/>
  <c r="AH57" i="1" s="1"/>
  <c r="AH43" i="6"/>
  <c r="AH55" i="1"/>
  <c r="AI19" i="6"/>
  <c r="S19" i="2" s="1"/>
  <c r="AI50" i="1"/>
  <c r="AI49" i="1"/>
  <c r="AI66" i="1"/>
  <c r="AI68" i="1" s="1"/>
  <c r="AI69" i="1" s="1"/>
  <c r="AI70" i="1" s="1"/>
  <c r="AI55" i="1" s="1"/>
  <c r="AI137" i="1" s="1"/>
  <c r="AI128" i="1"/>
  <c r="AG83" i="6"/>
  <c r="S42" i="2"/>
  <c r="V42" i="2" s="1"/>
  <c r="U39" i="8" s="1"/>
  <c r="AI63" i="1"/>
  <c r="R34" i="2"/>
  <c r="Q29" i="8" s="1"/>
  <c r="R33" i="2"/>
  <c r="Q28" i="8" s="1"/>
  <c r="V18" i="2"/>
  <c r="U16" i="8" s="1"/>
  <c r="R16" i="8"/>
  <c r="AG47" i="6"/>
  <c r="AH81" i="1" l="1"/>
  <c r="AI129" i="1"/>
  <c r="AI50" i="6"/>
  <c r="S50" i="2" s="1"/>
  <c r="V19" i="2"/>
  <c r="U17" i="8" s="1"/>
  <c r="R17" i="8"/>
  <c r="AH137" i="1"/>
  <c r="AH52" i="6" s="1"/>
  <c r="AH29" i="6"/>
  <c r="AH25" i="6" s="1"/>
  <c r="AH84" i="1"/>
  <c r="AH142" i="1"/>
  <c r="AH85" i="1"/>
  <c r="AI56" i="1"/>
  <c r="AI80" i="1" s="1"/>
  <c r="S43" i="2"/>
  <c r="AH44" i="6"/>
  <c r="AH144" i="1"/>
  <c r="AH82" i="6" s="1"/>
  <c r="AH143" i="1"/>
  <c r="AH80" i="6" s="1"/>
  <c r="AH22" i="1"/>
  <c r="AH30" i="6"/>
  <c r="AI20" i="6"/>
  <c r="AI43" i="6"/>
  <c r="AI44" i="6" s="1"/>
  <c r="AI71" i="1"/>
  <c r="AI57" i="1" s="1"/>
  <c r="J5" i="9" s="1"/>
  <c r="H20" i="9" s="1"/>
  <c r="AH151" i="1"/>
  <c r="AH152" i="1" s="1"/>
  <c r="R39" i="8"/>
  <c r="AI142" i="1"/>
  <c r="AI75" i="6" s="1"/>
  <c r="AI85" i="1"/>
  <c r="AI29" i="6"/>
  <c r="AI84" i="1"/>
  <c r="AG34" i="6"/>
  <c r="AG33" i="6"/>
  <c r="AI52" i="6"/>
  <c r="S20" i="2" l="1"/>
  <c r="V20" i="2" s="1"/>
  <c r="U18" i="8" s="1"/>
  <c r="S44" i="2"/>
  <c r="R41" i="8" s="1"/>
  <c r="R42" i="8" s="1"/>
  <c r="S29" i="2"/>
  <c r="V29" i="2" s="1"/>
  <c r="U25" i="8" s="1"/>
  <c r="AH108" i="1"/>
  <c r="AH110" i="1" s="1"/>
  <c r="AH92" i="1" s="1"/>
  <c r="AI22" i="1"/>
  <c r="AI151" i="1"/>
  <c r="AI28" i="6"/>
  <c r="AH75" i="6"/>
  <c r="S75" i="2" s="1"/>
  <c r="AH146" i="1"/>
  <c r="AH147" i="1" s="1"/>
  <c r="AH59" i="6" s="1"/>
  <c r="AH86" i="1"/>
  <c r="AH75" i="1" s="1"/>
  <c r="AH45" i="6" s="1"/>
  <c r="AH46" i="6" s="1"/>
  <c r="AH47" i="6" s="1"/>
  <c r="AI30" i="6"/>
  <c r="S30" i="2" s="1"/>
  <c r="R26" i="8" s="1"/>
  <c r="J5" i="8"/>
  <c r="AI144" i="1"/>
  <c r="AI82" i="6" s="1"/>
  <c r="S82" i="2" s="1"/>
  <c r="V82" i="2" s="1"/>
  <c r="AI143" i="1"/>
  <c r="AI80" i="6" s="1"/>
  <c r="S80" i="2" s="1"/>
  <c r="V80" i="2" s="1"/>
  <c r="AI79" i="1"/>
  <c r="AI81" i="1" s="1"/>
  <c r="J5" i="1"/>
  <c r="V50" i="2"/>
  <c r="U48" i="8" s="1"/>
  <c r="R48" i="8"/>
  <c r="R40" i="8"/>
  <c r="V43" i="2"/>
  <c r="U40" i="8" s="1"/>
  <c r="AI150" i="1"/>
  <c r="AH81" i="6"/>
  <c r="AH61" i="6" s="1"/>
  <c r="J5" i="2"/>
  <c r="J5" i="6"/>
  <c r="S28" i="2"/>
  <c r="V28" i="2" s="1"/>
  <c r="U24" i="8" s="1"/>
  <c r="AI25" i="6"/>
  <c r="S25" i="2" s="1"/>
  <c r="V25" i="2" s="1"/>
  <c r="U22" i="8" s="1"/>
  <c r="AI86" i="1"/>
  <c r="S52" i="2"/>
  <c r="R18" i="8" l="1"/>
  <c r="V44" i="2"/>
  <c r="U41" i="8" s="1"/>
  <c r="U42" i="8" s="1"/>
  <c r="R25" i="8"/>
  <c r="V30" i="2"/>
  <c r="U26" i="8" s="1"/>
  <c r="AI108" i="1"/>
  <c r="AI152" i="1"/>
  <c r="AI81" i="6" s="1"/>
  <c r="K5" i="6" s="1"/>
  <c r="AH83" i="6"/>
  <c r="AI146" i="1"/>
  <c r="AI147" i="1" s="1"/>
  <c r="AI59" i="6" s="1"/>
  <c r="S59" i="2" s="1"/>
  <c r="V59" i="2" s="1"/>
  <c r="AI75" i="1"/>
  <c r="AI45" i="6" s="1"/>
  <c r="AH33" i="6"/>
  <c r="AH34" i="6"/>
  <c r="V52" i="2"/>
  <c r="U50" i="8" s="1"/>
  <c r="R50" i="8"/>
  <c r="R24" i="8"/>
  <c r="R36" i="8" s="1"/>
  <c r="U36" i="8" s="1"/>
  <c r="R22" i="8"/>
  <c r="V75" i="2"/>
  <c r="K5" i="8" l="1"/>
  <c r="AI110" i="1"/>
  <c r="AI92" i="1" s="1"/>
  <c r="K5" i="9"/>
  <c r="AI83" i="6"/>
  <c r="S83" i="2" s="1"/>
  <c r="V83" i="2" s="1"/>
  <c r="S81" i="2"/>
  <c r="R57" i="8" s="1"/>
  <c r="K5" i="2"/>
  <c r="K5" i="1"/>
  <c r="AI61" i="6"/>
  <c r="S61" i="2" s="1"/>
  <c r="V61" i="2" s="1"/>
  <c r="AI46" i="6"/>
  <c r="S45" i="2"/>
  <c r="V45" i="2" s="1"/>
  <c r="R58" i="8" l="1"/>
  <c r="V81" i="2"/>
  <c r="S46" i="2"/>
  <c r="V46" i="2" s="1"/>
  <c r="AI47" i="6"/>
  <c r="U57" i="8" l="1"/>
  <c r="U58" i="8"/>
  <c r="R43" i="8"/>
  <c r="R44" i="8" s="1"/>
  <c r="S47" i="2"/>
  <c r="V47" i="2"/>
  <c r="U43" i="8"/>
  <c r="U44" i="8" s="1"/>
  <c r="AI33" i="6"/>
  <c r="AI34" i="6"/>
  <c r="S34" i="2" l="1"/>
  <c r="R29" i="8" s="1"/>
  <c r="S33" i="2"/>
  <c r="V33" i="2" s="1"/>
  <c r="U28" i="8" s="1"/>
  <c r="V34" i="2" l="1"/>
  <c r="U29" i="8" s="1"/>
  <c r="R28" i="8"/>
  <c r="L66" i="6" l="1"/>
  <c r="L69" i="6" l="1"/>
  <c r="L90" i="6" l="1"/>
  <c r="M119" i="1"/>
  <c r="N119" i="1" s="1"/>
  <c r="N122" i="1" s="1"/>
  <c r="N94" i="1" s="1"/>
  <c r="N95" i="1" s="1"/>
  <c r="M122" i="1" l="1"/>
  <c r="M94" i="1" s="1"/>
  <c r="M95" i="1" s="1"/>
  <c r="M96" i="1" s="1"/>
  <c r="M97" i="1" s="1"/>
  <c r="M48" i="6" s="1"/>
  <c r="O119" i="1"/>
  <c r="O98" i="1" s="1"/>
  <c r="O38" i="6" s="1"/>
  <c r="N96" i="1"/>
  <c r="N97" i="1" s="1"/>
  <c r="N48" i="6" s="1"/>
  <c r="M98" i="1"/>
  <c r="N98" i="1"/>
  <c r="N38" i="6" s="1"/>
  <c r="O122" i="1" l="1"/>
  <c r="O94" i="1" s="1"/>
  <c r="O95" i="1" s="1"/>
  <c r="O96" i="1" s="1"/>
  <c r="O97" i="1" s="1"/>
  <c r="O48" i="6" s="1"/>
  <c r="P119" i="1"/>
  <c r="Q119" i="1" s="1"/>
  <c r="L48" i="2"/>
  <c r="M38" i="6"/>
  <c r="L38" i="2" s="1"/>
  <c r="M24" i="1"/>
  <c r="P122" i="1" l="1"/>
  <c r="P94" i="1" s="1"/>
  <c r="P95" i="1" s="1"/>
  <c r="P96" i="1" s="1"/>
  <c r="P97" i="1" s="1"/>
  <c r="P48" i="6" s="1"/>
  <c r="P98" i="1"/>
  <c r="P38" i="6" s="1"/>
  <c r="N24" i="1"/>
  <c r="M132" i="1"/>
  <c r="M135" i="1" s="1"/>
  <c r="M51" i="6" s="1"/>
  <c r="Q98" i="1"/>
  <c r="Q38" i="6" s="1"/>
  <c r="Q122" i="1"/>
  <c r="Q94" i="1" s="1"/>
  <c r="Q95" i="1" s="1"/>
  <c r="R119" i="1"/>
  <c r="K46" i="8"/>
  <c r="M38" i="2" l="1"/>
  <c r="L33" i="8" s="1"/>
  <c r="L34" i="8" s="1"/>
  <c r="R122" i="1"/>
  <c r="R94" i="1" s="1"/>
  <c r="R95" i="1" s="1"/>
  <c r="S119" i="1"/>
  <c r="R98" i="1"/>
  <c r="R38" i="6" s="1"/>
  <c r="M53" i="6"/>
  <c r="N132" i="1"/>
  <c r="N135" i="1" s="1"/>
  <c r="N51" i="6" s="1"/>
  <c r="N53" i="6" s="1"/>
  <c r="O24" i="1"/>
  <c r="Q96" i="1"/>
  <c r="Q97" i="1" s="1"/>
  <c r="Q48" i="6" s="1"/>
  <c r="M48" i="2" s="1"/>
  <c r="L51" i="2" l="1"/>
  <c r="K49" i="8" s="1"/>
  <c r="O132" i="1"/>
  <c r="O135" i="1" s="1"/>
  <c r="O51" i="6" s="1"/>
  <c r="P24" i="1"/>
  <c r="N58" i="6"/>
  <c r="N54" i="6"/>
  <c r="M58" i="6"/>
  <c r="L53" i="2"/>
  <c r="M54" i="6"/>
  <c r="S98" i="1"/>
  <c r="S38" i="6" s="1"/>
  <c r="S122" i="1"/>
  <c r="S94" i="1" s="1"/>
  <c r="S95" i="1" s="1"/>
  <c r="T119" i="1"/>
  <c r="L46" i="8"/>
  <c r="R96" i="1"/>
  <c r="R97" i="1" s="1"/>
  <c r="R48" i="6" s="1"/>
  <c r="S96" i="1" l="1"/>
  <c r="S97" i="1" s="1"/>
  <c r="S48" i="6" s="1"/>
  <c r="Q24" i="1"/>
  <c r="P132" i="1"/>
  <c r="P135" i="1" s="1"/>
  <c r="P51" i="6" s="1"/>
  <c r="P53" i="6" s="1"/>
  <c r="L35" i="8"/>
  <c r="U119" i="1"/>
  <c r="T122" i="1"/>
  <c r="T94" i="1" s="1"/>
  <c r="T95" i="1" s="1"/>
  <c r="T98" i="1"/>
  <c r="T38" i="6" s="1"/>
  <c r="N38" i="2" s="1"/>
  <c r="L58" i="2"/>
  <c r="M89" i="6"/>
  <c r="N89" i="6" s="1"/>
  <c r="M62" i="6"/>
  <c r="N62" i="6"/>
  <c r="N66" i="6" s="1"/>
  <c r="K51" i="8"/>
  <c r="L54" i="2"/>
  <c r="O53" i="6"/>
  <c r="L89" i="2" l="1"/>
  <c r="T96" i="1"/>
  <c r="T97" i="1" s="1"/>
  <c r="T48" i="6" s="1"/>
  <c r="U98" i="1"/>
  <c r="U38" i="6" s="1"/>
  <c r="V119" i="1"/>
  <c r="U122" i="1"/>
  <c r="U94" i="1" s="1"/>
  <c r="U95" i="1" s="1"/>
  <c r="O54" i="6"/>
  <c r="O58" i="6"/>
  <c r="M33" i="8"/>
  <c r="M34" i="8" s="1"/>
  <c r="P54" i="6"/>
  <c r="P58" i="6"/>
  <c r="L62" i="2"/>
  <c r="M66" i="6"/>
  <c r="Q132" i="1"/>
  <c r="Q135" i="1" s="1"/>
  <c r="Q51" i="6" s="1"/>
  <c r="R24" i="1"/>
  <c r="V98" i="1" l="1"/>
  <c r="V38" i="6" s="1"/>
  <c r="V122" i="1"/>
  <c r="V94" i="1" s="1"/>
  <c r="V95" i="1" s="1"/>
  <c r="W119" i="1"/>
  <c r="R132" i="1"/>
  <c r="R135" i="1" s="1"/>
  <c r="R51" i="6" s="1"/>
  <c r="S24" i="1"/>
  <c r="Q53" i="6"/>
  <c r="M51" i="2"/>
  <c r="P62" i="6"/>
  <c r="P66" i="6" s="1"/>
  <c r="N48" i="2"/>
  <c r="O62" i="6"/>
  <c r="O89" i="6"/>
  <c r="U96" i="1"/>
  <c r="U97" i="1" s="1"/>
  <c r="U48" i="6" s="1"/>
  <c r="M69" i="6"/>
  <c r="N69" i="6"/>
  <c r="L66" i="2"/>
  <c r="M46" i="8" l="1"/>
  <c r="K53" i="8"/>
  <c r="R53" i="6"/>
  <c r="W122" i="1"/>
  <c r="W94" i="1" s="1"/>
  <c r="W95" i="1" s="1"/>
  <c r="X119" i="1"/>
  <c r="W98" i="1"/>
  <c r="W38" i="6" s="1"/>
  <c r="O38" i="2" s="1"/>
  <c r="O66" i="6"/>
  <c r="P89" i="6"/>
  <c r="L49" i="8"/>
  <c r="S132" i="1"/>
  <c r="S135" i="1" s="1"/>
  <c r="S51" i="6" s="1"/>
  <c r="S53" i="6" s="1"/>
  <c r="T24" i="1"/>
  <c r="V96" i="1"/>
  <c r="V97" i="1" s="1"/>
  <c r="V48" i="6" s="1"/>
  <c r="Q58" i="6"/>
  <c r="Q54" i="6"/>
  <c r="M53" i="2"/>
  <c r="P69" i="6" l="1"/>
  <c r="O69" i="6"/>
  <c r="W96" i="1"/>
  <c r="W97" i="1" s="1"/>
  <c r="W48" i="6" s="1"/>
  <c r="U24" i="1"/>
  <c r="T132" i="1"/>
  <c r="T135" i="1" s="1"/>
  <c r="T51" i="6" s="1"/>
  <c r="M35" i="8"/>
  <c r="N33" i="8"/>
  <c r="N34" i="8" s="1"/>
  <c r="U38" i="2"/>
  <c r="T33" i="8" s="1"/>
  <c r="X98" i="1"/>
  <c r="X38" i="6" s="1"/>
  <c r="Y119" i="1"/>
  <c r="X122" i="1"/>
  <c r="X94" i="1" s="1"/>
  <c r="X95" i="1" s="1"/>
  <c r="M54" i="2"/>
  <c r="L51" i="8"/>
  <c r="R54" i="6"/>
  <c r="R58" i="6"/>
  <c r="Q89" i="6"/>
  <c r="M89" i="2" s="1"/>
  <c r="Q62" i="6"/>
  <c r="M58" i="2"/>
  <c r="S58" i="6"/>
  <c r="S54" i="6"/>
  <c r="O48" i="2" l="1"/>
  <c r="R89" i="6"/>
  <c r="S89" i="6" s="1"/>
  <c r="R62" i="6"/>
  <c r="Y122" i="1"/>
  <c r="Y94" i="1" s="1"/>
  <c r="Y95" i="1" s="1"/>
  <c r="Z119" i="1"/>
  <c r="Y98" i="1"/>
  <c r="Y38" i="6" s="1"/>
  <c r="S62" i="6"/>
  <c r="S66" i="6" s="1"/>
  <c r="T53" i="6"/>
  <c r="N51" i="2"/>
  <c r="U132" i="1"/>
  <c r="U135" i="1" s="1"/>
  <c r="U51" i="6" s="1"/>
  <c r="V24" i="1"/>
  <c r="X96" i="1"/>
  <c r="X97" i="1" s="1"/>
  <c r="X48" i="6" s="1"/>
  <c r="Q66" i="6"/>
  <c r="M62" i="2"/>
  <c r="T58" i="6" l="1"/>
  <c r="T54" i="6"/>
  <c r="N53" i="2"/>
  <c r="Z122" i="1"/>
  <c r="Z94" i="1" s="1"/>
  <c r="Z95" i="1" s="1"/>
  <c r="Z98" i="1"/>
  <c r="Z38" i="6" s="1"/>
  <c r="P38" i="2" s="1"/>
  <c r="AA119" i="1"/>
  <c r="M49" i="8"/>
  <c r="Y96" i="1"/>
  <c r="Y97" i="1" s="1"/>
  <c r="Y48" i="6" s="1"/>
  <c r="N46" i="8"/>
  <c r="U48" i="2"/>
  <c r="T46" i="8" s="1"/>
  <c r="U53" i="6"/>
  <c r="R66" i="6"/>
  <c r="R69" i="6" s="1"/>
  <c r="M66" i="2"/>
  <c r="Q69" i="6"/>
  <c r="W24" i="1"/>
  <c r="V132" i="1"/>
  <c r="V135" i="1" s="1"/>
  <c r="V51" i="6" s="1"/>
  <c r="V53" i="6" s="1"/>
  <c r="S69" i="6" l="1"/>
  <c r="O33" i="8"/>
  <c r="O34" i="8" s="1"/>
  <c r="N35" i="8"/>
  <c r="V58" i="6"/>
  <c r="V54" i="6"/>
  <c r="Z96" i="1"/>
  <c r="Z97" i="1" s="1"/>
  <c r="Z48" i="6" s="1"/>
  <c r="P48" i="2" s="1"/>
  <c r="W132" i="1"/>
  <c r="W135" i="1" s="1"/>
  <c r="W51" i="6" s="1"/>
  <c r="W53" i="6" s="1"/>
  <c r="X24" i="1"/>
  <c r="U58" i="6"/>
  <c r="U54" i="6"/>
  <c r="T62" i="6"/>
  <c r="T89" i="6"/>
  <c r="N89" i="2" s="1"/>
  <c r="N58" i="2"/>
  <c r="L53" i="8"/>
  <c r="AB119" i="1"/>
  <c r="AA98" i="1"/>
  <c r="AA38" i="6" s="1"/>
  <c r="AA122" i="1"/>
  <c r="AA94" i="1" s="1"/>
  <c r="AA95" i="1" s="1"/>
  <c r="M51" i="8"/>
  <c r="N54" i="2"/>
  <c r="T34" i="8" l="1"/>
  <c r="O51" i="2"/>
  <c r="N49" i="8" s="1"/>
  <c r="O46" i="8"/>
  <c r="U62" i="6"/>
  <c r="U89" i="6"/>
  <c r="W54" i="6"/>
  <c r="W58" i="6"/>
  <c r="T66" i="6"/>
  <c r="N62" i="2"/>
  <c r="X132" i="1"/>
  <c r="X135" i="1" s="1"/>
  <c r="X51" i="6" s="1"/>
  <c r="Y24" i="1"/>
  <c r="AC119" i="1"/>
  <c r="AB98" i="1"/>
  <c r="AB38" i="6" s="1"/>
  <c r="AB122" i="1"/>
  <c r="AB94" i="1" s="1"/>
  <c r="AB95" i="1" s="1"/>
  <c r="V62" i="6"/>
  <c r="V66" i="6" s="1"/>
  <c r="AA96" i="1"/>
  <c r="AA97" i="1" s="1"/>
  <c r="AA48" i="6" s="1"/>
  <c r="O53" i="2"/>
  <c r="U51" i="2" l="1"/>
  <c r="T49" i="8" s="1"/>
  <c r="AC98" i="1"/>
  <c r="AC38" i="6" s="1"/>
  <c r="Q38" i="2" s="1"/>
  <c r="AC122" i="1"/>
  <c r="AC94" i="1" s="1"/>
  <c r="AC95" i="1" s="1"/>
  <c r="AD119" i="1"/>
  <c r="N51" i="8"/>
  <c r="O54" i="2"/>
  <c r="U53" i="2"/>
  <c r="T69" i="6"/>
  <c r="N66" i="2"/>
  <c r="W62" i="6"/>
  <c r="W66" i="6" s="1"/>
  <c r="Z24" i="1"/>
  <c r="Y132" i="1"/>
  <c r="Y135" i="1" s="1"/>
  <c r="Y51" i="6" s="1"/>
  <c r="Y53" i="6" s="1"/>
  <c r="X53" i="6"/>
  <c r="V89" i="6"/>
  <c r="W89" i="6" s="1"/>
  <c r="O35" i="8"/>
  <c r="O58" i="2"/>
  <c r="U58" i="2" s="1"/>
  <c r="U66" i="6"/>
  <c r="U69" i="6" s="1"/>
  <c r="AB96" i="1"/>
  <c r="AB97" i="1" s="1"/>
  <c r="AB48" i="6" s="1"/>
  <c r="T35" i="8" l="1"/>
  <c r="V69" i="6"/>
  <c r="O89" i="2"/>
  <c r="U89" i="2" s="1"/>
  <c r="W69" i="6"/>
  <c r="AA24" i="1"/>
  <c r="Z132" i="1"/>
  <c r="Z135" i="1" s="1"/>
  <c r="Z51" i="6" s="1"/>
  <c r="M53" i="8"/>
  <c r="O62" i="2"/>
  <c r="U62" i="2" s="1"/>
  <c r="P33" i="8"/>
  <c r="P34" i="8" s="1"/>
  <c r="Y58" i="6"/>
  <c r="Y54" i="6"/>
  <c r="AE119" i="1"/>
  <c r="AD98" i="1"/>
  <c r="AD38" i="6" s="1"/>
  <c r="AD122" i="1"/>
  <c r="AD94" i="1" s="1"/>
  <c r="AD95" i="1" s="1"/>
  <c r="X58" i="6"/>
  <c r="X54" i="6"/>
  <c r="O66" i="2"/>
  <c r="N53" i="8" s="1"/>
  <c r="U54" i="2"/>
  <c r="T51" i="8"/>
  <c r="AC96" i="1"/>
  <c r="AC97" i="1" s="1"/>
  <c r="AC48" i="6" s="1"/>
  <c r="Q48" i="2" l="1"/>
  <c r="AF119" i="1"/>
  <c r="AE122" i="1"/>
  <c r="AE94" i="1" s="1"/>
  <c r="AE95" i="1" s="1"/>
  <c r="AE98" i="1"/>
  <c r="AE38" i="6" s="1"/>
  <c r="Y62" i="6"/>
  <c r="Y66" i="6" s="1"/>
  <c r="AB24" i="1"/>
  <c r="AA132" i="1"/>
  <c r="AA135" i="1" s="1"/>
  <c r="AA51" i="6" s="1"/>
  <c r="AD96" i="1"/>
  <c r="AD97" i="1" s="1"/>
  <c r="AD48" i="6" s="1"/>
  <c r="U66" i="2"/>
  <c r="Z53" i="6"/>
  <c r="P51" i="2"/>
  <c r="X62" i="6"/>
  <c r="X89" i="6"/>
  <c r="Y89" i="6" s="1"/>
  <c r="U68" i="2" l="1"/>
  <c r="V65" i="2" s="1"/>
  <c r="T53" i="8"/>
  <c r="O49" i="8"/>
  <c r="AC24" i="1"/>
  <c r="AB132" i="1"/>
  <c r="AB135" i="1" s="1"/>
  <c r="AB51" i="6" s="1"/>
  <c r="AB53" i="6" s="1"/>
  <c r="Z58" i="6"/>
  <c r="Z54" i="6"/>
  <c r="P53" i="2"/>
  <c r="AA53" i="6"/>
  <c r="AE96" i="1"/>
  <c r="AE97" i="1" s="1"/>
  <c r="AE48" i="6" s="1"/>
  <c r="AF122" i="1"/>
  <c r="AF94" i="1" s="1"/>
  <c r="AF95" i="1" s="1"/>
  <c r="AG119" i="1"/>
  <c r="AF98" i="1"/>
  <c r="AF38" i="6" s="1"/>
  <c r="R38" i="2" s="1"/>
  <c r="P46" i="8"/>
  <c r="X66" i="6"/>
  <c r="Y69" i="6" s="1"/>
  <c r="Q33" i="8" l="1"/>
  <c r="Q34" i="8" s="1"/>
  <c r="P54" i="2"/>
  <c r="O51" i="8"/>
  <c r="Z89" i="6"/>
  <c r="P89" i="2" s="1"/>
  <c r="Z62" i="6"/>
  <c r="P58" i="2"/>
  <c r="X69" i="6"/>
  <c r="AB58" i="6"/>
  <c r="AB54" i="6"/>
  <c r="AH119" i="1"/>
  <c r="AG98" i="1"/>
  <c r="AG38" i="6" s="1"/>
  <c r="AG122" i="1"/>
  <c r="AG94" i="1" s="1"/>
  <c r="AG95" i="1" s="1"/>
  <c r="AF96" i="1"/>
  <c r="AF97" i="1" s="1"/>
  <c r="AF48" i="6" s="1"/>
  <c r="AA58" i="6"/>
  <c r="AA54" i="6"/>
  <c r="AC132" i="1"/>
  <c r="AC135" i="1" s="1"/>
  <c r="AC51" i="6" s="1"/>
  <c r="AD24" i="1"/>
  <c r="P35" i="8"/>
  <c r="R48" i="2" l="1"/>
  <c r="AD132" i="1"/>
  <c r="AD135" i="1" s="1"/>
  <c r="AD51" i="6" s="1"/>
  <c r="AE24" i="1"/>
  <c r="AC53" i="6"/>
  <c r="Q51" i="2"/>
  <c r="AA89" i="6"/>
  <c r="AA62" i="6"/>
  <c r="Z66" i="6"/>
  <c r="P62" i="2"/>
  <c r="AG96" i="1"/>
  <c r="AG97" i="1" s="1"/>
  <c r="AG48" i="6" s="1"/>
  <c r="AI119" i="1"/>
  <c r="AH122" i="1"/>
  <c r="AH94" i="1" s="1"/>
  <c r="AH95" i="1" s="1"/>
  <c r="AH98" i="1"/>
  <c r="AH38" i="6" s="1"/>
  <c r="AB62" i="6"/>
  <c r="AB66" i="6" s="1"/>
  <c r="Q46" i="8" l="1"/>
  <c r="Z69" i="6"/>
  <c r="P66" i="2"/>
  <c r="AA66" i="6"/>
  <c r="P49" i="8"/>
  <c r="AB89" i="6"/>
  <c r="AC54" i="6"/>
  <c r="AC58" i="6"/>
  <c r="Q53" i="2"/>
  <c r="AF24" i="1"/>
  <c r="AE132" i="1"/>
  <c r="AE135" i="1" s="1"/>
  <c r="AE51" i="6" s="1"/>
  <c r="AE53" i="6" s="1"/>
  <c r="AD53" i="6"/>
  <c r="AH96" i="1"/>
  <c r="AH97" i="1" s="1"/>
  <c r="AH48" i="6" s="1"/>
  <c r="AI122" i="1"/>
  <c r="AI94" i="1" s="1"/>
  <c r="AI95" i="1" s="1"/>
  <c r="AI98" i="1"/>
  <c r="AI38" i="6" s="1"/>
  <c r="S38" i="2" s="1"/>
  <c r="AC62" i="6" l="1"/>
  <c r="AC89" i="6"/>
  <c r="Q89" i="2" s="1"/>
  <c r="Q58" i="2"/>
  <c r="O53" i="8"/>
  <c r="AD54" i="6"/>
  <c r="AD58" i="6"/>
  <c r="AF132" i="1"/>
  <c r="AF135" i="1" s="1"/>
  <c r="AF51" i="6" s="1"/>
  <c r="AG24" i="1"/>
  <c r="Q54" i="2"/>
  <c r="P51" i="8"/>
  <c r="R33" i="8"/>
  <c r="R34" i="8" s="1"/>
  <c r="U34" i="8" s="1"/>
  <c r="V38" i="2"/>
  <c r="U33" i="8" s="1"/>
  <c r="AA69" i="6"/>
  <c r="AI96" i="1"/>
  <c r="AI97" i="1" s="1"/>
  <c r="AI48" i="6" s="1"/>
  <c r="S48" i="2" s="1"/>
  <c r="Q35" i="8"/>
  <c r="AE58" i="6"/>
  <c r="AE54" i="6"/>
  <c r="AB69" i="6"/>
  <c r="R46" i="8" l="1"/>
  <c r="V48" i="2"/>
  <c r="U46" i="8" s="1"/>
  <c r="AH24" i="1"/>
  <c r="AG132" i="1"/>
  <c r="AG135" i="1" s="1"/>
  <c r="AG51" i="6" s="1"/>
  <c r="AF53" i="6"/>
  <c r="R51" i="2"/>
  <c r="AD62" i="6"/>
  <c r="AD89" i="6"/>
  <c r="AE89" i="6" s="1"/>
  <c r="AC66" i="6"/>
  <c r="Q62" i="2"/>
  <c r="AE62" i="6"/>
  <c r="AE66" i="6" s="1"/>
  <c r="AC69" i="6" l="1"/>
  <c r="Q66" i="2"/>
  <c r="AD66" i="6"/>
  <c r="AF58" i="6"/>
  <c r="AF54" i="6"/>
  <c r="R53" i="2"/>
  <c r="AH132" i="1"/>
  <c r="AH135" i="1" s="1"/>
  <c r="AH51" i="6" s="1"/>
  <c r="AH53" i="6" s="1"/>
  <c r="AI24" i="1"/>
  <c r="AI132" i="1" s="1"/>
  <c r="AI135" i="1" s="1"/>
  <c r="AI51" i="6" s="1"/>
  <c r="AI53" i="6" s="1"/>
  <c r="Q49" i="8"/>
  <c r="AG53" i="6"/>
  <c r="R35" i="8"/>
  <c r="U35" i="8" s="1"/>
  <c r="AI58" i="6" l="1"/>
  <c r="AI54" i="6"/>
  <c r="AF89" i="6"/>
  <c r="R89" i="2" s="1"/>
  <c r="AF62" i="6"/>
  <c r="R58" i="2"/>
  <c r="AG58" i="6"/>
  <c r="AG54" i="6"/>
  <c r="S53" i="2"/>
  <c r="V53" i="2" s="1"/>
  <c r="AH58" i="6"/>
  <c r="AH54" i="6"/>
  <c r="S51" i="2"/>
  <c r="R54" i="2"/>
  <c r="Q51" i="8"/>
  <c r="AD69" i="6"/>
  <c r="P53" i="8"/>
  <c r="AE69" i="6"/>
  <c r="U51" i="8" l="1"/>
  <c r="V54" i="2"/>
  <c r="AF66" i="6"/>
  <c r="R62" i="2"/>
  <c r="R49" i="8"/>
  <c r="V51" i="2"/>
  <c r="U49" i="8" s="1"/>
  <c r="AH62" i="6"/>
  <c r="AH66" i="6" s="1"/>
  <c r="S58" i="2"/>
  <c r="V58" i="2" s="1"/>
  <c r="AG89" i="6"/>
  <c r="AG62" i="6"/>
  <c r="S54" i="2"/>
  <c r="R51" i="8"/>
  <c r="AI62" i="6"/>
  <c r="AI66" i="6" s="1"/>
  <c r="AG66" i="6" l="1"/>
  <c r="S62" i="2"/>
  <c r="V62" i="2" s="1"/>
  <c r="AH89" i="6"/>
  <c r="AI89" i="6" s="1"/>
  <c r="AF69" i="6"/>
  <c r="R66" i="2"/>
  <c r="S66" i="2" l="1"/>
  <c r="R53" i="8" s="1"/>
  <c r="AG69" i="6"/>
  <c r="AH69" i="6"/>
  <c r="Q53" i="8"/>
  <c r="S89" i="2"/>
  <c r="V89" i="2" s="1"/>
  <c r="K66" i="6"/>
  <c r="E25" i="8" s="1"/>
  <c r="AI69" i="6"/>
  <c r="K69" i="6" s="1"/>
  <c r="E19" i="8" s="1"/>
  <c r="V66" i="2" l="1"/>
  <c r="U53" i="8" s="1"/>
  <c r="G5" i="2"/>
  <c r="G5" i="9"/>
  <c r="H19" i="9" s="1"/>
  <c r="G5" i="8"/>
  <c r="E21" i="8"/>
  <c r="E27" i="8"/>
  <c r="E28" i="8" s="1"/>
  <c r="G5" i="6"/>
  <c r="G5" i="1"/>
  <c r="H18" i="9" l="1"/>
  <c r="V68" i="2"/>
  <c r="H5" i="2"/>
  <c r="I67" i="6"/>
  <c r="H5" i="8"/>
  <c r="H5" i="9"/>
  <c r="H17" i="9" s="1"/>
  <c r="H5" i="6"/>
  <c r="H5" i="1"/>
  <c r="E22" i="8"/>
  <c r="I5" i="6"/>
  <c r="I5" i="9"/>
  <c r="I5" i="8"/>
  <c r="H67" i="6"/>
  <c r="I5" i="1"/>
  <c r="I5" i="2"/>
  <c r="AE67" i="6" l="1"/>
  <c r="AG67" i="6"/>
  <c r="AF67" i="6"/>
  <c r="Y67" i="6"/>
  <c r="R67" i="6"/>
  <c r="Z67" i="6"/>
  <c r="AB67" i="6"/>
  <c r="U67" i="6"/>
  <c r="V67" i="6"/>
  <c r="AD67" i="6"/>
  <c r="Q67" i="6"/>
  <c r="M67" i="6"/>
  <c r="M88" i="6" s="1"/>
  <c r="AC67" i="6"/>
  <c r="AH67" i="6"/>
  <c r="L67" i="6"/>
  <c r="S67" i="6"/>
  <c r="W67" i="6"/>
  <c r="AI67" i="6"/>
  <c r="X67" i="6"/>
  <c r="O67" i="6"/>
  <c r="N67" i="6"/>
  <c r="T67" i="6"/>
  <c r="AA67" i="6"/>
  <c r="P67" i="6"/>
  <c r="R67" i="2" l="1"/>
  <c r="P67" i="2"/>
  <c r="O67" i="2"/>
  <c r="N67" i="2"/>
  <c r="L68" i="6"/>
  <c r="L67" i="2"/>
  <c r="N88" i="6"/>
  <c r="L88" i="2" s="1"/>
  <c r="M90" i="6"/>
  <c r="Q67" i="2"/>
  <c r="M67" i="2"/>
  <c r="S67" i="2"/>
  <c r="V67" i="2" l="1"/>
  <c r="L90" i="2"/>
  <c r="N90" i="6"/>
  <c r="O88" i="6"/>
  <c r="U67" i="2"/>
  <c r="L68" i="2"/>
  <c r="M65" i="2" s="1"/>
  <c r="M68" i="2" s="1"/>
  <c r="N65" i="2" s="1"/>
  <c r="N68" i="2" s="1"/>
  <c r="O65" i="2" s="1"/>
  <c r="O68" i="2" s="1"/>
  <c r="P65" i="2" s="1"/>
  <c r="P68" i="2" s="1"/>
  <c r="Q65" i="2" s="1"/>
  <c r="Q68" i="2" s="1"/>
  <c r="R65" i="2" s="1"/>
  <c r="R68" i="2" s="1"/>
  <c r="S65" i="2" s="1"/>
  <c r="S68" i="2" s="1"/>
  <c r="M65" i="6"/>
  <c r="M68" i="6" s="1"/>
  <c r="L74" i="6"/>
  <c r="L77" i="6" l="1"/>
  <c r="L85" i="6" s="1"/>
  <c r="M74" i="6"/>
  <c r="M77" i="6" s="1"/>
  <c r="M85" i="6" s="1"/>
  <c r="M91" i="6" s="1"/>
  <c r="N65" i="6"/>
  <c r="N68" i="6" s="1"/>
  <c r="O90" i="6"/>
  <c r="P88" i="6"/>
  <c r="P90" i="6" l="1"/>
  <c r="Q88" i="6"/>
  <c r="M88" i="2" s="1"/>
  <c r="L91" i="6"/>
  <c r="N74" i="6"/>
  <c r="N77" i="6" s="1"/>
  <c r="N85" i="6" s="1"/>
  <c r="N91" i="6" s="1"/>
  <c r="O65" i="6"/>
  <c r="O68" i="6" s="1"/>
  <c r="L74" i="2" l="1"/>
  <c r="L77" i="2" s="1"/>
  <c r="L85" i="2"/>
  <c r="L91" i="2" s="1"/>
  <c r="O74" i="6"/>
  <c r="P65" i="6"/>
  <c r="P68" i="6" s="1"/>
  <c r="M90" i="2"/>
  <c r="R88" i="6"/>
  <c r="Q90" i="6"/>
  <c r="K56" i="8" l="1"/>
  <c r="O77" i="6"/>
  <c r="O85" i="6" s="1"/>
  <c r="R90" i="6"/>
  <c r="S88" i="6"/>
  <c r="Q65" i="6"/>
  <c r="Q68" i="6" s="1"/>
  <c r="P74" i="6"/>
  <c r="P77" i="6" s="1"/>
  <c r="P85" i="6" s="1"/>
  <c r="P91" i="6" s="1"/>
  <c r="T88" i="6" l="1"/>
  <c r="S90" i="6"/>
  <c r="Q74" i="6"/>
  <c r="Q77" i="6" s="1"/>
  <c r="Q85" i="6" s="1"/>
  <c r="Q91" i="6" s="1"/>
  <c r="R65" i="6"/>
  <c r="R68" i="6" s="1"/>
  <c r="M74" i="2"/>
  <c r="O91" i="6"/>
  <c r="M85" i="2" l="1"/>
  <c r="M91" i="2" s="1"/>
  <c r="M77" i="2"/>
  <c r="L56" i="8"/>
  <c r="R74" i="6"/>
  <c r="S65" i="6"/>
  <c r="S68" i="6" s="1"/>
  <c r="T90" i="6"/>
  <c r="U88" i="6"/>
  <c r="N88" i="2"/>
  <c r="N90" i="2" l="1"/>
  <c r="T65" i="6"/>
  <c r="T68" i="6" s="1"/>
  <c r="S74" i="6"/>
  <c r="S77" i="6" s="1"/>
  <c r="S85" i="6" s="1"/>
  <c r="S91" i="6" s="1"/>
  <c r="V88" i="6"/>
  <c r="U90" i="6"/>
  <c r="R77" i="6"/>
  <c r="R85" i="6" s="1"/>
  <c r="R91" i="6" l="1"/>
  <c r="W88" i="6"/>
  <c r="V90" i="6"/>
  <c r="T74" i="6"/>
  <c r="U65" i="6"/>
  <c r="U68" i="6" s="1"/>
  <c r="T77" i="6" l="1"/>
  <c r="T85" i="6" s="1"/>
  <c r="N74" i="2"/>
  <c r="X88" i="6"/>
  <c r="W90" i="6"/>
  <c r="O88" i="2"/>
  <c r="V65" i="6"/>
  <c r="V68" i="6" s="1"/>
  <c r="U74" i="6"/>
  <c r="V74" i="6" l="1"/>
  <c r="V77" i="6" s="1"/>
  <c r="V85" i="6" s="1"/>
  <c r="V91" i="6" s="1"/>
  <c r="W65" i="6"/>
  <c r="W68" i="6" s="1"/>
  <c r="U77" i="6"/>
  <c r="U85" i="6" s="1"/>
  <c r="M56" i="8"/>
  <c r="N77" i="2"/>
  <c r="O90" i="2"/>
  <c r="U88" i="2"/>
  <c r="Y88" i="6"/>
  <c r="X90" i="6"/>
  <c r="T91" i="6"/>
  <c r="N85" i="2"/>
  <c r="N91" i="2" l="1"/>
  <c r="Y90" i="6"/>
  <c r="Z88" i="6"/>
  <c r="U90" i="2"/>
  <c r="U91" i="6"/>
  <c r="X65" i="6"/>
  <c r="X68" i="6" s="1"/>
  <c r="W74" i="6"/>
  <c r="AA88" i="6" l="1"/>
  <c r="Z90" i="6"/>
  <c r="P88" i="2"/>
  <c r="W77" i="6"/>
  <c r="W85" i="6" s="1"/>
  <c r="O74" i="2"/>
  <c r="Y65" i="6"/>
  <c r="Y68" i="6" s="1"/>
  <c r="X74" i="6"/>
  <c r="X77" i="6" l="1"/>
  <c r="X85" i="6" s="1"/>
  <c r="Z65" i="6"/>
  <c r="Z68" i="6" s="1"/>
  <c r="Y74" i="6"/>
  <c r="Y77" i="6" s="1"/>
  <c r="Y85" i="6" s="1"/>
  <c r="Y91" i="6" s="1"/>
  <c r="O77" i="2"/>
  <c r="U77" i="2" s="1"/>
  <c r="N56" i="8"/>
  <c r="U74" i="2"/>
  <c r="T56" i="8" s="1"/>
  <c r="W91" i="6"/>
  <c r="O85" i="2"/>
  <c r="AB88" i="6"/>
  <c r="AA90" i="6"/>
  <c r="P90" i="2"/>
  <c r="O91" i="2" l="1"/>
  <c r="U85" i="2"/>
  <c r="U91" i="2" s="1"/>
  <c r="Z74" i="6"/>
  <c r="AA65" i="6"/>
  <c r="AA68" i="6" s="1"/>
  <c r="X91" i="6"/>
  <c r="AC88" i="6"/>
  <c r="AB90" i="6"/>
  <c r="AD88" i="6" l="1"/>
  <c r="AC90" i="6"/>
  <c r="Q88" i="2"/>
  <c r="AB65" i="6"/>
  <c r="AB68" i="6" s="1"/>
  <c r="AA74" i="6"/>
  <c r="Z77" i="6"/>
  <c r="Z85" i="6" s="1"/>
  <c r="P74" i="2"/>
  <c r="Q90" i="2" l="1"/>
  <c r="O56" i="8"/>
  <c r="P77" i="2"/>
  <c r="Z91" i="6"/>
  <c r="P85" i="2"/>
  <c r="AA77" i="6"/>
  <c r="AA85" i="6" s="1"/>
  <c r="AB74" i="6"/>
  <c r="AB77" i="6" s="1"/>
  <c r="AB85" i="6" s="1"/>
  <c r="AB91" i="6" s="1"/>
  <c r="AC65" i="6"/>
  <c r="AC68" i="6" s="1"/>
  <c r="AE88" i="6"/>
  <c r="AD90" i="6"/>
  <c r="AD65" i="6" l="1"/>
  <c r="AD68" i="6" s="1"/>
  <c r="AC74" i="6"/>
  <c r="AA91" i="6"/>
  <c r="AE90" i="6"/>
  <c r="AF88" i="6"/>
  <c r="P91" i="2"/>
  <c r="AG88" i="6" l="1"/>
  <c r="AF90" i="6"/>
  <c r="R88" i="2"/>
  <c r="AC77" i="6"/>
  <c r="AC85" i="6" s="1"/>
  <c r="Q74" i="2"/>
  <c r="AD74" i="6"/>
  <c r="AE65" i="6"/>
  <c r="AE68" i="6" s="1"/>
  <c r="AF65" i="6" l="1"/>
  <c r="AF68" i="6" s="1"/>
  <c r="AE74" i="6"/>
  <c r="AE77" i="6" s="1"/>
  <c r="AE85" i="6" s="1"/>
  <c r="AE91" i="6" s="1"/>
  <c r="AD77" i="6"/>
  <c r="AD85" i="6" s="1"/>
  <c r="R90" i="2"/>
  <c r="Q77" i="2"/>
  <c r="P56" i="8"/>
  <c r="AC91" i="6"/>
  <c r="Q85" i="2"/>
  <c r="AG90" i="6"/>
  <c r="AH88" i="6"/>
  <c r="Q91" i="2" l="1"/>
  <c r="AI88" i="6"/>
  <c r="AH90" i="6"/>
  <c r="AD91" i="6"/>
  <c r="AG65" i="6"/>
  <c r="AG68" i="6" s="1"/>
  <c r="AF74" i="6"/>
  <c r="AH65" i="6" l="1"/>
  <c r="AH68" i="6" s="1"/>
  <c r="AG74" i="6"/>
  <c r="AF77" i="6"/>
  <c r="AF85" i="6" s="1"/>
  <c r="R74" i="2"/>
  <c r="AI90" i="6"/>
  <c r="S88" i="2"/>
  <c r="S90" i="2" l="1"/>
  <c r="V88" i="2"/>
  <c r="Q56" i="8"/>
  <c r="R77" i="2"/>
  <c r="AF91" i="6"/>
  <c r="R85" i="2"/>
  <c r="AG77" i="6"/>
  <c r="AG85" i="6" s="1"/>
  <c r="AH74" i="6"/>
  <c r="AH77" i="6" s="1"/>
  <c r="AH85" i="6" s="1"/>
  <c r="AH91" i="6" s="1"/>
  <c r="AI65" i="6"/>
  <c r="AI68" i="6" s="1"/>
  <c r="AI74" i="6" s="1"/>
  <c r="AI77" i="6" s="1"/>
  <c r="AI85" i="6" s="1"/>
  <c r="AI91" i="6" s="1"/>
  <c r="S85" i="2" l="1"/>
  <c r="V85" i="2" s="1"/>
  <c r="AG91" i="6"/>
  <c r="K91" i="6" s="1"/>
  <c r="R91" i="2"/>
  <c r="S74" i="2"/>
  <c r="V90" i="2"/>
  <c r="S91" i="2" l="1"/>
  <c r="K91" i="2" s="1"/>
  <c r="R56" i="8"/>
  <c r="S77" i="2"/>
  <c r="V77" i="2" s="1"/>
  <c r="V74" i="2"/>
  <c r="U56" i="8" s="1"/>
  <c r="V91" i="2"/>
</calcChain>
</file>

<file path=xl/sharedStrings.xml><?xml version="1.0" encoding="utf-8"?>
<sst xmlns="http://schemas.openxmlformats.org/spreadsheetml/2006/main" count="637" uniqueCount="249">
  <si>
    <t>Period End</t>
  </si>
  <si>
    <t>Period Start</t>
  </si>
  <si>
    <t>Calendar Year</t>
  </si>
  <si>
    <t>Period Number</t>
  </si>
  <si>
    <t>Days in Period</t>
  </si>
  <si>
    <t>Units</t>
  </si>
  <si>
    <t>Input I</t>
  </si>
  <si>
    <t>Input II</t>
  </si>
  <si>
    <t>Input III</t>
  </si>
  <si>
    <t>TOTAL</t>
  </si>
  <si>
    <t>X</t>
  </si>
  <si>
    <t>OPERATING METRICS</t>
  </si>
  <si>
    <t>SUBSCRIBERS</t>
  </si>
  <si>
    <t>Monthly</t>
  </si>
  <si>
    <t>MONTHLY PLAN</t>
  </si>
  <si>
    <t>Opening</t>
  </si>
  <si>
    <t>Churn</t>
  </si>
  <si>
    <t>CLOSING</t>
  </si>
  <si>
    <t>ANNUAL PLAN</t>
  </si>
  <si>
    <t>Additions</t>
  </si>
  <si>
    <t>% adds</t>
  </si>
  <si>
    <t>REVENUE</t>
  </si>
  <si>
    <t>Subscribers</t>
  </si>
  <si>
    <t>ARPU</t>
  </si>
  <si>
    <t>Revenue</t>
  </si>
  <si>
    <t>ARR</t>
  </si>
  <si>
    <t>% churn</t>
  </si>
  <si>
    <t>TIMING &amp; FLAGS</t>
  </si>
  <si>
    <t>January Point-to-Point</t>
  </si>
  <si>
    <t>#</t>
  </si>
  <si>
    <t>%</t>
  </si>
  <si>
    <t>$/user</t>
  </si>
  <si>
    <t>% net adds - MoM</t>
  </si>
  <si>
    <t>% net adds - YoY</t>
  </si>
  <si>
    <t>New Subscribers</t>
  </si>
  <si>
    <t>Cash</t>
  </si>
  <si>
    <t>Bookings</t>
  </si>
  <si>
    <t>Revenue / Bookings</t>
  </si>
  <si>
    <t>PAYMENT PROCESSING FEES</t>
  </si>
  <si>
    <t>HOSTING FEES</t>
  </si>
  <si>
    <t>SUMMARY</t>
  </si>
  <si>
    <t>$k</t>
  </si>
  <si>
    <t>Annual Plan - Rolling LTM Counter</t>
  </si>
  <si>
    <t>Monthly Revenue Contribution</t>
  </si>
  <si>
    <t>LTM Monthly Revenue Contribution</t>
  </si>
  <si>
    <t>COGS</t>
  </si>
  <si>
    <t>HEADCOUNT COSTS</t>
  </si>
  <si>
    <t># FTEs</t>
  </si>
  <si>
    <t>$/FTE</t>
  </si>
  <si>
    <t>Quarterly Point-to-Point</t>
  </si>
  <si>
    <t>ENGINEERS</t>
  </si>
  <si>
    <t>ARR Milestone?</t>
  </si>
  <si>
    <t>New Engineer Added?</t>
  </si>
  <si>
    <t>CUSTOMER SUPPORT REPRESENTATIVE</t>
  </si>
  <si>
    <t>Customer Milestone</t>
  </si>
  <si>
    <t>Total Customers</t>
  </si>
  <si>
    <t>CORE EXECUTIVES</t>
  </si>
  <si>
    <t>NEW EXECUTIVES</t>
  </si>
  <si>
    <t>Core Executives</t>
  </si>
  <si>
    <t>New Executives</t>
  </si>
  <si>
    <t>Engineers</t>
  </si>
  <si>
    <t>Customer Support Representatives</t>
  </si>
  <si>
    <t>BALANCE SHEET</t>
  </si>
  <si>
    <t>Calculations | Monthly</t>
  </si>
  <si>
    <t>NET WORKING CAPITAL</t>
  </si>
  <si>
    <t>Receivables</t>
  </si>
  <si>
    <t>Payables</t>
  </si>
  <si>
    <t>Other Current Liabilities</t>
  </si>
  <si>
    <t>Change</t>
  </si>
  <si>
    <t>OTHER OPEX</t>
  </si>
  <si>
    <t>Salary Increase</t>
  </si>
  <si>
    <t>Fringe Costs</t>
  </si>
  <si>
    <t>Subtotal</t>
  </si>
  <si>
    <t>G&amp;A</t>
  </si>
  <si>
    <t>% growth</t>
  </si>
  <si>
    <t>S&amp;M</t>
  </si>
  <si>
    <t>S&amp;M/customer</t>
  </si>
  <si>
    <t># offices</t>
  </si>
  <si>
    <t>Headcount Milestone</t>
  </si>
  <si>
    <t>Total / Out</t>
  </si>
  <si>
    <t>Utilities</t>
  </si>
  <si>
    <t>Rent Expense</t>
  </si>
  <si>
    <t>$/customer</t>
  </si>
  <si>
    <t>Facilities</t>
  </si>
  <si>
    <t>Miscellaneous Expenses</t>
  </si>
  <si>
    <t>% ARR reduction</t>
  </si>
  <si>
    <t>END OF SHEET</t>
  </si>
  <si>
    <t>PROFIT &amp; LOSS</t>
  </si>
  <si>
    <t>CASH FLOW STATEMENT</t>
  </si>
  <si>
    <t># CUSTOMERS</t>
  </si>
  <si>
    <t>Monthly Plan</t>
  </si>
  <si>
    <t>Annual Plan</t>
  </si>
  <si>
    <t>PRICING</t>
  </si>
  <si>
    <t>Annual</t>
  </si>
  <si>
    <t>REVENUE METRICS</t>
  </si>
  <si>
    <t>Gross Profit</t>
  </si>
  <si>
    <t>% margin</t>
  </si>
  <si>
    <t>Headcount Costs</t>
  </si>
  <si>
    <t>Facilities Expense</t>
  </si>
  <si>
    <t>Miscellaneous</t>
  </si>
  <si>
    <t>EBITDA</t>
  </si>
  <si>
    <t>Less: Change in NWC</t>
  </si>
  <si>
    <t>Less: Cash Tax Paid</t>
  </si>
  <si>
    <t>Change in Deferred Revenues</t>
  </si>
  <si>
    <t>Accrual / Burn</t>
  </si>
  <si>
    <t>CASH ACCRUAL / BURN</t>
  </si>
  <si>
    <t>CASH AND CASH EQUIVALENTS</t>
  </si>
  <si>
    <t>ASSETS</t>
  </si>
  <si>
    <t>Other</t>
  </si>
  <si>
    <t>Summary Financials | Monthly</t>
  </si>
  <si>
    <t>Deferred Revenue</t>
  </si>
  <si>
    <t>Contributed Equity</t>
  </si>
  <si>
    <t>Retained Profits / (Accumulated Losses)</t>
  </si>
  <si>
    <t>CHECK</t>
  </si>
  <si>
    <t>LIABILITIES</t>
  </si>
  <si>
    <t>EQUITY</t>
  </si>
  <si>
    <t>NET ASSETS</t>
  </si>
  <si>
    <t>DEFERRED REVENUE</t>
  </si>
  <si>
    <t>Delta</t>
  </si>
  <si>
    <t>SaaS METRICS</t>
  </si>
  <si>
    <t>CAC Payback (Monthly Plan)</t>
  </si>
  <si>
    <t>CAC Payback (Annual Plan)</t>
  </si>
  <si>
    <t>months</t>
  </si>
  <si>
    <t>Gross Dollar Retention (Monthly Plan)</t>
  </si>
  <si>
    <t>Gross Dollar Retention (Annual Plan)</t>
  </si>
  <si>
    <t>Summary Financials | Quarterly</t>
  </si>
  <si>
    <t>SUMMARY FINANCIALS</t>
  </si>
  <si>
    <t>QUARTERLY</t>
  </si>
  <si>
    <t>ANNUAL</t>
  </si>
  <si>
    <t>Quarterly</t>
  </si>
  <si>
    <t>DASHBOARD</t>
  </si>
  <si>
    <t>CHARTS</t>
  </si>
  <si>
    <t>Total Revenue</t>
  </si>
  <si>
    <t>$K, Dec Y/E</t>
  </si>
  <si>
    <t>BALANCE SHEET AND OTHER KEY METRICS</t>
  </si>
  <si>
    <t>Cash Accrual / (Burn)</t>
  </si>
  <si>
    <t>Headcount</t>
  </si>
  <si>
    <t>Net Working Capital</t>
  </si>
  <si>
    <t>Runway</t>
  </si>
  <si>
    <t>Runway (months)</t>
  </si>
  <si>
    <t>Model Date</t>
  </si>
  <si>
    <t>Founders' Equity</t>
  </si>
  <si>
    <t>Buffer</t>
  </si>
  <si>
    <t>Date of Fundraise</t>
  </si>
  <si>
    <t>Months from Today</t>
  </si>
  <si>
    <t>Fundraising Calculations</t>
  </si>
  <si>
    <t>Cash Requirement by Dec-25</t>
  </si>
  <si>
    <t>Add: Minimum Cash Balance</t>
  </si>
  <si>
    <t>Required Fundraise</t>
  </si>
  <si>
    <t>FUNDRAISING SUMMARY</t>
  </si>
  <si>
    <t>BLENDED</t>
  </si>
  <si>
    <t>Customers (Monthly vs. Annual) &amp; Pricing</t>
  </si>
  <si>
    <t>Bookings, Revenue and ARR</t>
  </si>
  <si>
    <t>Revenue by Monthly vs. Annual Plan</t>
  </si>
  <si>
    <t>Cash Balance over Time</t>
  </si>
  <si>
    <t>Model Control</t>
  </si>
  <si>
    <t>BASE CASE</t>
  </si>
  <si>
    <t>SCENARIO SELECTOR&gt;&gt;</t>
  </si>
  <si>
    <t>Churn (%)</t>
  </si>
  <si>
    <t>MoM Growth (%)</t>
  </si>
  <si>
    <t>MILESTONE FLAGS</t>
  </si>
  <si>
    <t>Pricing</t>
  </si>
  <si>
    <t>% growth YoY</t>
  </si>
  <si>
    <t>VOLUME &amp; PRICING ASSUMPTIONS</t>
  </si>
  <si>
    <t>MILESTONE ASSUMPTIONS</t>
  </si>
  <si>
    <t>ARR Milestone</t>
  </si>
  <si>
    <t>HEADCOUNT ASSUMPTIONS</t>
  </si>
  <si>
    <t>Fringe Costs % of Base Salary</t>
  </si>
  <si>
    <t>YoY Salary Increase</t>
  </si>
  <si>
    <t>SALARIES</t>
  </si>
  <si>
    <t>Core Executive</t>
  </si>
  <si>
    <t>New Executive</t>
  </si>
  <si>
    <t>Customer Support Representative</t>
  </si>
  <si>
    <t>COST ASSUMPTIONS</t>
  </si>
  <si>
    <t>G&amp;A Annual Growth</t>
  </si>
  <si>
    <t>S&amp;M / Customer</t>
  </si>
  <si>
    <t>Fundraise</t>
  </si>
  <si>
    <t>End. ARR</t>
  </si>
  <si>
    <t>Fund. Date</t>
  </si>
  <si>
    <t>Add: Fundraise</t>
  </si>
  <si>
    <t>FUNDRAISING ASSUMPTIONS</t>
  </si>
  <si>
    <t>Minimum Cash</t>
  </si>
  <si>
    <t>Growth Runway Post-Fundraise</t>
  </si>
  <si>
    <t>Runway Trigger Prior to Fundraise</t>
  </si>
  <si>
    <t>Deferred Rev.</t>
  </si>
  <si>
    <t>Model Summary</t>
  </si>
  <si>
    <t>Operating Model</t>
  </si>
  <si>
    <t>Summary Financials</t>
  </si>
  <si>
    <t>Operating Calculations</t>
  </si>
  <si>
    <t>LOWER CHURN + UPSELL</t>
  </si>
  <si>
    <t>Cumulative Burn</t>
  </si>
  <si>
    <t>Launch Profile</t>
  </si>
  <si>
    <t>Ramp-up Profile</t>
  </si>
  <si>
    <t>Month 1</t>
  </si>
  <si>
    <t>Month 2</t>
  </si>
  <si>
    <t>Month 3</t>
  </si>
  <si>
    <t>&lt;&lt; required # of customers post-launch to reach $3m ARR</t>
  </si>
  <si>
    <t>Launch Phasing</t>
  </si>
  <si>
    <t>$</t>
  </si>
  <si>
    <t>$K</t>
  </si>
  <si>
    <t>Add: Allowance for Growth</t>
  </si>
  <si>
    <t>DISC. CASE</t>
  </si>
  <si>
    <t>Dollar Retention &amp; Payback by Plan</t>
  </si>
  <si>
    <t>CAC Payback (Monthly)</t>
  </si>
  <si>
    <t>CAC Payback (Annual)</t>
  </si>
  <si>
    <t>GDR (Monthly)</t>
  </si>
  <si>
    <t>GDR (Annual)</t>
  </si>
  <si>
    <t>Base</t>
  </si>
  <si>
    <t>Inc</t>
  </si>
  <si>
    <t>End</t>
  </si>
  <si>
    <t>Base Case ARR</t>
  </si>
  <si>
    <t>Add: ARR from Monthly Churn Reduction</t>
  </si>
  <si>
    <t>Add: ARR from Annual Churn Reduction</t>
  </si>
  <si>
    <t>Revised ARR</t>
  </si>
  <si>
    <t>LOWER CHURN (MTHLY)</t>
  </si>
  <si>
    <t>LOWER CHURN (ANN)</t>
  </si>
  <si>
    <t>New Customer Support Added?</t>
  </si>
  <si>
    <t>Add: ARR from Price Escalation</t>
  </si>
  <si>
    <t>Add: ARR from Upsell from Monthly to Annual</t>
  </si>
  <si>
    <t>PRICE ESCALATION</t>
  </si>
  <si>
    <t>UPSELL</t>
  </si>
  <si>
    <t>OUTPUTS</t>
  </si>
  <si>
    <t>Fundraising Size</t>
  </si>
  <si>
    <t>Ending ARR</t>
  </si>
  <si>
    <t>Bookings / S&amp;M</t>
  </si>
  <si>
    <t>Bookings / FTE</t>
  </si>
  <si>
    <t>Bookings / Headcount Cost</t>
  </si>
  <si>
    <t>Fundraising Date</t>
  </si>
  <si>
    <t>date</t>
  </si>
  <si>
    <t>KEY SCENARIOS</t>
  </si>
  <si>
    <t>SENSITIVITIES</t>
  </si>
  <si>
    <t>-10% CHURN</t>
  </si>
  <si>
    <t>+10% CHURN</t>
  </si>
  <si>
    <t>+10% PRICING</t>
  </si>
  <si>
    <t>-10% PRICING</t>
  </si>
  <si>
    <t>-10% MoM GROWTH</t>
  </si>
  <si>
    <t>+10% MoM GROWTH</t>
  </si>
  <si>
    <t>+10% LAUNCH VOLUME</t>
  </si>
  <si>
    <t>-10% LAUNCH VOLUME</t>
  </si>
  <si>
    <t>TORNADO CHART</t>
  </si>
  <si>
    <t>Upsell</t>
  </si>
  <si>
    <t>Churn Reduction</t>
  </si>
  <si>
    <t>Scenario</t>
  </si>
  <si>
    <t>Low</t>
  </si>
  <si>
    <t>High</t>
  </si>
  <si>
    <t>Launch Volumes</t>
  </si>
  <si>
    <t>MoM Growth</t>
  </si>
  <si>
    <t>Gross Adds Post-Launch Period</t>
  </si>
  <si>
    <t>Project Eagle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</si>
</sst>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#,##0.0;\(#,##0.0\);\-"/>
    <numFmt numFmtId="166" formatCode="0.0"/>
    <numFmt numFmtId="167" formatCode="#,##0%;\(#,##0%\);\-"/>
    <numFmt numFmtId="168" formatCode="#,##0.0%;\(#,##0.0%\);\-"/>
    <numFmt numFmtId="169" formatCode="#,##0.00;\(#,##0.00\);\-"/>
    <numFmt numFmtId="170" formatCode="0.0%"/>
    <numFmt numFmtId="171" formatCode="#,##0.0&quot; mths&quot;;\(#,##0.0&quot; mths&quot;\);\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10"/>
      <color rgb="FF0000FF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darkUp">
        <fgColor theme="0" tint="-0.149967955565050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Up">
        <fgColor theme="0" tint="-0.14996795556505021"/>
        <bgColor theme="0" tint="-4.9989318521683403E-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41">
    <xf numFmtId="0" fontId="0" fillId="0" borderId="0" xfId="0"/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6" borderId="1" xfId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/>
    <xf numFmtId="171" fontId="6" fillId="0" borderId="1" xfId="1" applyNumberFormat="1" applyFont="1" applyFill="1" applyAlignment="1">
      <alignment horizontal="center" vertical="center"/>
    </xf>
    <xf numFmtId="164" fontId="6" fillId="0" borderId="1" xfId="1" applyNumberFormat="1" applyFont="1" applyFill="1" applyAlignment="1">
      <alignment horizontal="center" vertical="center"/>
    </xf>
    <xf numFmtId="15" fontId="6" fillId="0" borderId="1" xfId="1" applyNumberFormat="1" applyFont="1" applyFill="1" applyAlignment="1">
      <alignment horizontal="center" vertical="center"/>
    </xf>
    <xf numFmtId="0" fontId="10" fillId="2" borderId="1" xfId="1" applyFont="1" applyAlignment="1">
      <alignment horizontal="center"/>
    </xf>
    <xf numFmtId="0" fontId="2" fillId="3" borderId="0" xfId="0" applyFont="1" applyFill="1"/>
    <xf numFmtId="0" fontId="0" fillId="3" borderId="0" xfId="0" applyFill="1"/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Continuous"/>
    </xf>
    <xf numFmtId="0" fontId="0" fillId="0" borderId="0" xfId="0" applyAlignment="1">
      <alignment horizontal="center"/>
    </xf>
    <xf numFmtId="0" fontId="3" fillId="6" borderId="8" xfId="0" applyFont="1" applyFill="1" applyBorder="1"/>
    <xf numFmtId="0" fontId="0" fillId="6" borderId="9" xfId="0" applyFill="1" applyBorder="1"/>
    <xf numFmtId="0" fontId="0" fillId="6" borderId="10" xfId="0" applyFill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0" fillId="0" borderId="2" xfId="0" applyBorder="1"/>
    <xf numFmtId="17" fontId="0" fillId="0" borderId="2" xfId="0" applyNumberFormat="1" applyBorder="1"/>
    <xf numFmtId="17" fontId="0" fillId="0" borderId="0" xfId="0" applyNumberFormat="1"/>
    <xf numFmtId="17" fontId="0" fillId="0" borderId="19" xfId="0" applyNumberFormat="1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0" fillId="6" borderId="0" xfId="0" applyFill="1"/>
    <xf numFmtId="15" fontId="0" fillId="6" borderId="0" xfId="0" applyNumberFormat="1" applyFill="1" applyAlignment="1">
      <alignment horizontal="right"/>
    </xf>
    <xf numFmtId="0" fontId="3" fillId="8" borderId="0" xfId="0" applyFont="1" applyFill="1"/>
    <xf numFmtId="0" fontId="0" fillId="8" borderId="0" xfId="0" applyFill="1"/>
    <xf numFmtId="164" fontId="0" fillId="8" borderId="0" xfId="0" applyNumberFormat="1" applyFill="1"/>
    <xf numFmtId="164" fontId="0" fillId="6" borderId="0" xfId="0" applyNumberFormat="1" applyFill="1"/>
    <xf numFmtId="0" fontId="3" fillId="0" borderId="3" xfId="0" applyFont="1" applyBorder="1"/>
    <xf numFmtId="164" fontId="3" fillId="0" borderId="3" xfId="0" applyNumberFormat="1" applyFont="1" applyBorder="1"/>
    <xf numFmtId="0" fontId="3" fillId="6" borderId="3" xfId="0" applyFont="1" applyFill="1" applyBorder="1"/>
    <xf numFmtId="0" fontId="0" fillId="6" borderId="3" xfId="0" applyFill="1" applyBorder="1"/>
    <xf numFmtId="164" fontId="3" fillId="6" borderId="3" xfId="0" applyNumberFormat="1" applyFont="1" applyFill="1" applyBorder="1"/>
    <xf numFmtId="165" fontId="3" fillId="6" borderId="3" xfId="0" applyNumberFormat="1" applyFont="1" applyFill="1" applyBorder="1"/>
    <xf numFmtId="0" fontId="0" fillId="6" borderId="0" xfId="0" applyFill="1" applyAlignment="1">
      <alignment horizontal="left"/>
    </xf>
    <xf numFmtId="165" fontId="0" fillId="6" borderId="0" xfId="0" applyNumberFormat="1" applyFill="1"/>
    <xf numFmtId="0" fontId="3" fillId="6" borderId="3" xfId="0" applyFont="1" applyFill="1" applyBorder="1" applyAlignment="1">
      <alignment horizontal="left"/>
    </xf>
    <xf numFmtId="15" fontId="3" fillId="6" borderId="3" xfId="0" applyNumberFormat="1" applyFont="1" applyFill="1" applyBorder="1"/>
    <xf numFmtId="0" fontId="8" fillId="6" borderId="0" xfId="0" applyFont="1" applyFill="1" applyAlignment="1">
      <alignment horizontal="left" indent="1"/>
    </xf>
    <xf numFmtId="165" fontId="8" fillId="6" borderId="0" xfId="0" applyNumberFormat="1" applyFont="1" applyFill="1"/>
    <xf numFmtId="0" fontId="3" fillId="6" borderId="0" xfId="0" applyFont="1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7" borderId="0" xfId="0" applyNumberFormat="1" applyFill="1"/>
    <xf numFmtId="0" fontId="3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3" fillId="0" borderId="26" xfId="0" applyFont="1" applyBorder="1" applyAlignment="1">
      <alignment horizontal="center"/>
    </xf>
    <xf numFmtId="0" fontId="10" fillId="0" borderId="0" xfId="0" applyFont="1"/>
    <xf numFmtId="168" fontId="0" fillId="6" borderId="0" xfId="0" applyNumberFormat="1" applyFill="1"/>
    <xf numFmtId="0" fontId="0" fillId="0" borderId="24" xfId="0" applyBorder="1" applyAlignment="1">
      <alignment horizontal="center"/>
    </xf>
    <xf numFmtId="164" fontId="0" fillId="0" borderId="0" xfId="0" applyNumberFormat="1" applyAlignment="1">
      <alignment horizontal="center"/>
    </xf>
    <xf numFmtId="15" fontId="10" fillId="0" borderId="0" xfId="0" applyNumberFormat="1" applyFont="1"/>
    <xf numFmtId="169" fontId="0" fillId="6" borderId="0" xfId="0" applyNumberFormat="1" applyFill="1"/>
    <xf numFmtId="167" fontId="8" fillId="6" borderId="0" xfId="0" applyNumberFormat="1" applyFont="1" applyFill="1"/>
    <xf numFmtId="167" fontId="0" fillId="0" borderId="0" xfId="0" applyNumberFormat="1"/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11" fillId="0" borderId="6" xfId="0" applyFont="1" applyBorder="1" applyAlignment="1">
      <alignment horizontal="centerContinuous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5" fontId="13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15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5" fillId="2" borderId="1" xfId="1" applyFont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0" fontId="11" fillId="0" borderId="3" xfId="0" applyFont="1" applyBorder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13" fillId="0" borderId="3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165" fontId="6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16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167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164" fontId="11" fillId="0" borderId="3" xfId="0" applyNumberFormat="1" applyFont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12" fillId="2" borderId="4" xfId="1" applyNumberFormat="1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17" fillId="5" borderId="0" xfId="0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5" fontId="11" fillId="0" borderId="0" xfId="0" applyNumberFormat="1" applyFont="1" applyAlignment="1">
      <alignment vertical="center"/>
    </xf>
    <xf numFmtId="15" fontId="6" fillId="0" borderId="0" xfId="0" applyNumberFormat="1" applyFont="1" applyAlignment="1">
      <alignment vertical="center"/>
    </xf>
    <xf numFmtId="164" fontId="17" fillId="3" borderId="0" xfId="0" applyNumberFormat="1" applyFont="1" applyFill="1" applyAlignment="1">
      <alignment vertical="center"/>
    </xf>
    <xf numFmtId="1" fontId="6" fillId="0" borderId="0" xfId="0" applyNumberFormat="1" applyFont="1" applyAlignment="1">
      <alignment vertical="center"/>
    </xf>
    <xf numFmtId="0" fontId="11" fillId="0" borderId="16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64" fontId="11" fillId="0" borderId="16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horizontal="right" vertical="center"/>
    </xf>
    <xf numFmtId="15" fontId="6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12" fillId="2" borderId="18" xfId="1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166" fontId="5" fillId="2" borderId="1" xfId="1" applyNumberFormat="1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66" fontId="20" fillId="2" borderId="1" xfId="1" applyNumberFormat="1" applyFont="1" applyAlignment="1">
      <alignment horizontal="center" vertical="center"/>
    </xf>
    <xf numFmtId="166" fontId="5" fillId="2" borderId="1" xfId="1" applyNumberFormat="1" applyFont="1" applyAlignment="1">
      <alignment horizontal="right" vertical="center"/>
    </xf>
    <xf numFmtId="168" fontId="20" fillId="0" borderId="0" xfId="0" applyNumberFormat="1" applyFont="1" applyAlignment="1">
      <alignment vertical="center"/>
    </xf>
    <xf numFmtId="167" fontId="21" fillId="4" borderId="0" xfId="0" applyNumberFormat="1" applyFont="1" applyFill="1" applyAlignment="1">
      <alignment vertical="center"/>
    </xf>
    <xf numFmtId="168" fontId="6" fillId="0" borderId="0" xfId="0" applyNumberFormat="1" applyFont="1" applyAlignment="1">
      <alignment horizontal="center" vertical="center"/>
    </xf>
    <xf numFmtId="164" fontId="20" fillId="2" borderId="1" xfId="1" applyNumberFormat="1" applyFont="1" applyAlignment="1">
      <alignment vertical="center"/>
    </xf>
    <xf numFmtId="0" fontId="21" fillId="0" borderId="0" xfId="0" applyFont="1" applyAlignment="1">
      <alignment horizontal="left" vertical="center" indent="1"/>
    </xf>
    <xf numFmtId="9" fontId="20" fillId="2" borderId="1" xfId="1" applyNumberFormat="1" applyFont="1" applyAlignment="1">
      <alignment vertical="center"/>
    </xf>
    <xf numFmtId="9" fontId="6" fillId="0" borderId="1" xfId="1" applyNumberFormat="1" applyFont="1" applyFill="1" applyAlignment="1">
      <alignment vertical="center"/>
    </xf>
    <xf numFmtId="0" fontId="6" fillId="0" borderId="3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12" fillId="2" borderId="1" xfId="1" applyNumberFormat="1" applyFont="1" applyAlignment="1">
      <alignment vertical="center"/>
    </xf>
    <xf numFmtId="167" fontId="21" fillId="0" borderId="0" xfId="0" applyNumberFormat="1" applyFont="1" applyAlignment="1">
      <alignment vertical="center"/>
    </xf>
    <xf numFmtId="170" fontId="20" fillId="2" borderId="1" xfId="1" applyNumberFormat="1" applyFont="1" applyAlignment="1">
      <alignment vertical="center"/>
    </xf>
    <xf numFmtId="170" fontId="6" fillId="0" borderId="1" xfId="1" applyNumberFormat="1" applyFont="1" applyFill="1" applyAlignment="1">
      <alignment vertical="center"/>
    </xf>
    <xf numFmtId="9" fontId="20" fillId="2" borderId="1" xfId="1" applyNumberFormat="1" applyFont="1" applyAlignment="1">
      <alignment horizontal="center" vertical="center"/>
    </xf>
    <xf numFmtId="164" fontId="6" fillId="0" borderId="1" xfId="1" applyNumberFormat="1" applyFont="1" applyFill="1" applyAlignment="1">
      <alignment vertical="center"/>
    </xf>
    <xf numFmtId="0" fontId="23" fillId="0" borderId="3" xfId="0" applyFont="1" applyBorder="1" applyAlignment="1">
      <alignment horizontal="center" vertical="center"/>
    </xf>
    <xf numFmtId="165" fontId="11" fillId="0" borderId="3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21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5" fillId="2" borderId="1" xfId="1" applyFont="1" applyAlignment="1">
      <alignment horizontal="left" vertical="center"/>
    </xf>
    <xf numFmtId="9" fontId="5" fillId="2" borderId="1" xfId="1" applyNumberFormat="1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1" fontId="9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0" fontId="5" fillId="2" borderId="1" xfId="1" applyFont="1" applyAlignment="1">
      <alignment vertical="center"/>
    </xf>
    <xf numFmtId="0" fontId="20" fillId="2" borderId="1" xfId="1" applyFont="1" applyAlignment="1">
      <alignment horizontal="center" vertical="center"/>
    </xf>
    <xf numFmtId="1" fontId="11" fillId="0" borderId="3" xfId="0" applyNumberFormat="1" applyFont="1" applyBorder="1" applyAlignment="1">
      <alignment vertical="center"/>
    </xf>
    <xf numFmtId="167" fontId="19" fillId="4" borderId="0" xfId="0" applyNumberFormat="1" applyFont="1" applyFill="1" applyAlignment="1">
      <alignment vertical="center"/>
    </xf>
    <xf numFmtId="165" fontId="5" fillId="0" borderId="0" xfId="0" applyNumberFormat="1" applyFont="1" applyAlignment="1">
      <alignment vertical="center"/>
    </xf>
    <xf numFmtId="10" fontId="20" fillId="2" borderId="1" xfId="1" applyNumberFormat="1" applyFont="1" applyAlignment="1">
      <alignment horizontal="center" vertical="center"/>
    </xf>
    <xf numFmtId="164" fontId="20" fillId="2" borderId="1" xfId="1" applyNumberFormat="1" applyFont="1" applyAlignment="1">
      <alignment horizontal="center" vertical="center"/>
    </xf>
    <xf numFmtId="10" fontId="5" fillId="2" borderId="1" xfId="1" applyNumberFormat="1" applyFont="1" applyAlignment="1">
      <alignment horizontal="center" vertical="center"/>
    </xf>
    <xf numFmtId="10" fontId="5" fillId="2" borderId="1" xfId="1" applyNumberFormat="1" applyFont="1" applyAlignment="1">
      <alignment horizontal="right" vertical="center"/>
    </xf>
    <xf numFmtId="10" fontId="6" fillId="0" borderId="0" xfId="0" applyNumberFormat="1" applyFont="1" applyAlignment="1">
      <alignment vertical="center"/>
    </xf>
    <xf numFmtId="0" fontId="24" fillId="0" borderId="0" xfId="0" applyFont="1" applyAlignment="1">
      <alignment horizontal="centerContinuous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17" fillId="3" borderId="24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164" fontId="25" fillId="9" borderId="20" xfId="0" applyNumberFormat="1" applyFont="1" applyFill="1" applyBorder="1" applyAlignment="1">
      <alignment horizontal="center"/>
    </xf>
    <xf numFmtId="164" fontId="25" fillId="9" borderId="25" xfId="0" applyNumberFormat="1" applyFont="1" applyFill="1" applyBorder="1" applyAlignment="1">
      <alignment horizontal="center"/>
    </xf>
    <xf numFmtId="164" fontId="25" fillId="9" borderId="22" xfId="0" applyNumberFormat="1" applyFont="1" applyFill="1" applyBorder="1" applyAlignment="1">
      <alignment horizontal="center"/>
    </xf>
    <xf numFmtId="15" fontId="6" fillId="0" borderId="21" xfId="0" applyNumberFormat="1" applyFont="1" applyBorder="1" applyAlignment="1">
      <alignment horizontal="center"/>
    </xf>
    <xf numFmtId="15" fontId="25" fillId="9" borderId="20" xfId="0" applyNumberFormat="1" applyFont="1" applyFill="1" applyBorder="1" applyAlignment="1">
      <alignment horizontal="center"/>
    </xf>
    <xf numFmtId="15" fontId="25" fillId="9" borderId="25" xfId="0" applyNumberFormat="1" applyFont="1" applyFill="1" applyBorder="1" applyAlignment="1">
      <alignment horizontal="center"/>
    </xf>
    <xf numFmtId="15" fontId="25" fillId="9" borderId="22" xfId="0" applyNumberFormat="1" applyFont="1" applyFill="1" applyBorder="1" applyAlignment="1">
      <alignment horizontal="center"/>
    </xf>
    <xf numFmtId="171" fontId="6" fillId="0" borderId="21" xfId="0" applyNumberFormat="1" applyFont="1" applyBorder="1" applyAlignment="1">
      <alignment horizontal="center"/>
    </xf>
    <xf numFmtId="171" fontId="25" fillId="9" borderId="20" xfId="0" applyNumberFormat="1" applyFont="1" applyFill="1" applyBorder="1" applyAlignment="1">
      <alignment horizontal="center"/>
    </xf>
    <xf numFmtId="171" fontId="25" fillId="9" borderId="25" xfId="0" applyNumberFormat="1" applyFont="1" applyFill="1" applyBorder="1" applyAlignment="1">
      <alignment horizontal="center"/>
    </xf>
    <xf numFmtId="171" fontId="25" fillId="9" borderId="22" xfId="0" applyNumberFormat="1" applyFont="1" applyFill="1" applyBorder="1" applyAlignment="1">
      <alignment horizontal="center"/>
    </xf>
    <xf numFmtId="164" fontId="6" fillId="0" borderId="0" xfId="0" applyNumberFormat="1" applyFont="1"/>
    <xf numFmtId="168" fontId="6" fillId="0" borderId="0" xfId="0" applyNumberFormat="1" applyFont="1"/>
    <xf numFmtId="164" fontId="6" fillId="0" borderId="5" xfId="0" applyNumberFormat="1" applyFont="1" applyBorder="1" applyAlignment="1">
      <alignment horizontal="center"/>
    </xf>
    <xf numFmtId="164" fontId="5" fillId="2" borderId="17" xfId="1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6" fillId="0" borderId="23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5" fontId="5" fillId="2" borderId="17" xfId="1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5" fontId="6" fillId="0" borderId="23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0" fontId="26" fillId="3" borderId="0" xfId="0" applyFont="1" applyFill="1" applyAlignment="1">
      <alignment horizontal="center" vertical="center"/>
    </xf>
    <xf numFmtId="0" fontId="11" fillId="6" borderId="0" xfId="0" applyFont="1" applyFill="1"/>
    <xf numFmtId="0" fontId="6" fillId="6" borderId="0" xfId="0" applyFont="1" applyFill="1"/>
    <xf numFmtId="0" fontId="21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24" xfId="0" applyFont="1" applyFill="1" applyBorder="1" applyAlignment="1">
      <alignment horizontal="center"/>
    </xf>
    <xf numFmtId="164" fontId="6" fillId="9" borderId="10" xfId="0" applyNumberFormat="1" applyFont="1" applyFill="1" applyBorder="1" applyAlignment="1">
      <alignment horizontal="center"/>
    </xf>
    <xf numFmtId="164" fontId="6" fillId="9" borderId="7" xfId="0" applyNumberFormat="1" applyFont="1" applyFill="1" applyBorder="1" applyAlignment="1">
      <alignment horizontal="center"/>
    </xf>
    <xf numFmtId="0" fontId="27" fillId="0" borderId="0" xfId="0" applyFont="1"/>
    <xf numFmtId="0" fontId="11" fillId="0" borderId="0" xfId="0" applyFont="1"/>
    <xf numFmtId="168" fontId="6" fillId="0" borderId="5" xfId="0" applyNumberFormat="1" applyFont="1" applyBorder="1" applyAlignment="1">
      <alignment horizontal="center"/>
    </xf>
    <xf numFmtId="170" fontId="5" fillId="2" borderId="17" xfId="1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170" fontId="6" fillId="0" borderId="23" xfId="0" applyNumberFormat="1" applyFont="1" applyBorder="1" applyAlignment="1">
      <alignment horizontal="center"/>
    </xf>
    <xf numFmtId="170" fontId="6" fillId="0" borderId="10" xfId="0" applyNumberFormat="1" applyFont="1" applyBorder="1" applyAlignment="1">
      <alignment horizontal="center"/>
    </xf>
    <xf numFmtId="170" fontId="6" fillId="9" borderId="7" xfId="0" applyNumberFormat="1" applyFont="1" applyFill="1" applyBorder="1" applyAlignment="1">
      <alignment horizontal="center"/>
    </xf>
    <xf numFmtId="170" fontId="6" fillId="9" borderId="23" xfId="0" applyNumberFormat="1" applyFont="1" applyFill="1" applyBorder="1" applyAlignment="1">
      <alignment horizontal="center"/>
    </xf>
    <xf numFmtId="170" fontId="5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170" fontId="6" fillId="0" borderId="24" xfId="0" applyNumberFormat="1" applyFont="1" applyBorder="1" applyAlignment="1">
      <alignment horizontal="center"/>
    </xf>
    <xf numFmtId="170" fontId="5" fillId="6" borderId="0" xfId="0" applyNumberFormat="1" applyFont="1" applyFill="1" applyAlignment="1">
      <alignment horizontal="center"/>
    </xf>
    <xf numFmtId="170" fontId="6" fillId="6" borderId="0" xfId="0" applyNumberFormat="1" applyFont="1" applyFill="1" applyAlignment="1">
      <alignment horizontal="center"/>
    </xf>
    <xf numFmtId="170" fontId="6" fillId="6" borderId="24" xfId="0" applyNumberFormat="1" applyFont="1" applyFill="1" applyBorder="1" applyAlignment="1">
      <alignment horizontal="center"/>
    </xf>
    <xf numFmtId="168" fontId="5" fillId="2" borderId="17" xfId="1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170" fontId="12" fillId="3" borderId="0" xfId="0" applyNumberFormat="1" applyFont="1" applyFill="1" applyAlignment="1">
      <alignment horizontal="center" vertical="center"/>
    </xf>
    <xf numFmtId="170" fontId="17" fillId="3" borderId="0" xfId="0" applyNumberFormat="1" applyFont="1" applyFill="1" applyAlignment="1">
      <alignment horizontal="center" vertical="center"/>
    </xf>
    <xf numFmtId="170" fontId="17" fillId="3" borderId="24" xfId="0" applyNumberFormat="1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Sum!$G$16</c:f>
              <c:strCache>
                <c:ptCount val="1"/>
                <c:pt idx="0">
                  <c:v>Monthly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Sum!$K$13:$R$13</c:f>
              <c:numCache>
                <c:formatCode>mmm\-yy</c:formatCode>
                <c:ptCount val="8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</c:numCache>
            </c:numRef>
          </c:cat>
          <c:val>
            <c:numRef>
              <c:f>Sum!$K$16:$R$16</c:f>
              <c:numCache>
                <c:formatCode>#,##0;\(#,##0\);\-</c:formatCode>
                <c:ptCount val="8"/>
                <c:pt idx="0">
                  <c:v>3471.21875</c:v>
                </c:pt>
                <c:pt idx="1">
                  <c:v>2131.7622148437495</c:v>
                </c:pt>
                <c:pt idx="2">
                  <c:v>1309.1684701909176</c:v>
                </c:pt>
                <c:pt idx="3">
                  <c:v>803.99308675599752</c:v>
                </c:pt>
                <c:pt idx="4">
                  <c:v>493.75225440402698</c:v>
                </c:pt>
                <c:pt idx="5">
                  <c:v>303.22560323587311</c:v>
                </c:pt>
                <c:pt idx="6">
                  <c:v>186.2184235872306</c:v>
                </c:pt>
                <c:pt idx="7">
                  <c:v>114.36138938550796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D-4047-A0FF-D6BAB90778B6}"/>
            </c:ext>
          </c:extLst>
        </c:ser>
        <c:ser>
          <c:idx val="1"/>
          <c:order val="1"/>
          <c:tx>
            <c:strRef>
              <c:f>Sum!$G$17</c:f>
              <c:strCache>
                <c:ptCount val="1"/>
                <c:pt idx="0">
                  <c:v>Annual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Sum!$K$13:$R$13</c:f>
              <c:numCache>
                <c:formatCode>mmm\-yy</c:formatCode>
                <c:ptCount val="8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</c:numCache>
            </c:numRef>
          </c:cat>
          <c:val>
            <c:numRef>
              <c:f>Sum!$K$17:$R$17</c:f>
              <c:numCache>
                <c:formatCode>#,##0;\(#,##0\);\-</c:formatCode>
                <c:ptCount val="8"/>
                <c:pt idx="0">
                  <c:v>4915</c:v>
                </c:pt>
                <c:pt idx="1">
                  <c:v>6021.0863449999997</c:v>
                </c:pt>
                <c:pt idx="2">
                  <c:v>7376.0896793378352</c:v>
                </c:pt>
                <c:pt idx="3">
                  <c:v>9036.027029045059</c:v>
                </c:pt>
                <c:pt idx="4">
                  <c:v>9188.5142972424455</c:v>
                </c:pt>
                <c:pt idx="5">
                  <c:v>10842.727132986778</c:v>
                </c:pt>
                <c:pt idx="6">
                  <c:v>12776.131656080819</c:v>
                </c:pt>
                <c:pt idx="7">
                  <c:v>15030.611599430484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D-4047-A0FF-D6BAB907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940458543"/>
        <c:axId val="940459503"/>
      </c:barChart>
      <c:lineChart>
        <c:grouping val="standard"/>
        <c:varyColors val="0"/>
        <c:ser>
          <c:idx val="2"/>
          <c:order val="2"/>
          <c:tx>
            <c:strRef>
              <c:f>Sum!$G$18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Sum!$K$18:$R$18</c:f>
              <c:numCache>
                <c:formatCode>#,##0;\(#,##0\);\-</c:formatCode>
                <c:ptCount val="8"/>
                <c:pt idx="0">
                  <c:v>8386.21875</c:v>
                </c:pt>
                <c:pt idx="1">
                  <c:v>8152.8485598437492</c:v>
                </c:pt>
                <c:pt idx="2">
                  <c:v>8685.2581495287523</c:v>
                </c:pt>
                <c:pt idx="3">
                  <c:v>9840.0201158010568</c:v>
                </c:pt>
                <c:pt idx="4">
                  <c:v>9682.2665516464731</c:v>
                </c:pt>
                <c:pt idx="5">
                  <c:v>11145.952736222651</c:v>
                </c:pt>
                <c:pt idx="6">
                  <c:v>12962.350079668049</c:v>
                </c:pt>
                <c:pt idx="7">
                  <c:v>15144.972988815991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D-4047-A0FF-D6BAB907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458543"/>
        <c:axId val="940459503"/>
      </c:lineChart>
      <c:catAx>
        <c:axId val="9404585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59503"/>
        <c:crosses val="autoZero"/>
        <c:auto val="0"/>
        <c:lblAlgn val="ctr"/>
        <c:lblOffset val="100"/>
        <c:noMultiLvlLbl val="0"/>
      </c:catAx>
      <c:valAx>
        <c:axId val="940459503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5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Sum!$G$24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Sum!$K$13:$R$13</c:f>
              <c:numCache>
                <c:formatCode>mmm\-yy</c:formatCode>
                <c:ptCount val="8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</c:numCache>
            </c:numRef>
          </c:cat>
          <c:val>
            <c:numRef>
              <c:f>Sum!$K$24:$R$24</c:f>
              <c:numCache>
                <c:formatCode>#,##0;\(#,##0\);\-</c:formatCode>
                <c:ptCount val="8"/>
                <c:pt idx="0">
                  <c:v>1685.0770312500001</c:v>
                </c:pt>
                <c:pt idx="1">
                  <c:v>710.00898342890616</c:v>
                </c:pt>
                <c:pt idx="2">
                  <c:v>584.70450523094928</c:v>
                </c:pt>
                <c:pt idx="3">
                  <c:v>623.31875602191121</c:v>
                </c:pt>
                <c:pt idx="4">
                  <c:v>670.03803431485062</c:v>
                </c:pt>
                <c:pt idx="5">
                  <c:v>693.26004751693938</c:v>
                </c:pt>
                <c:pt idx="6">
                  <c:v>794.96787422500756</c:v>
                </c:pt>
                <c:pt idx="7">
                  <c:v>924.24868276599216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D-46AC-A6AB-A44EBB60CF02}"/>
            </c:ext>
          </c:extLst>
        </c:ser>
        <c:ser>
          <c:idx val="1"/>
          <c:order val="1"/>
          <c:tx>
            <c:strRef>
              <c:f>Sum!$G$25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Sum!$K$13:$R$13</c:f>
              <c:numCache>
                <c:formatCode>mmm\-yy</c:formatCode>
                <c:ptCount val="8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</c:numCache>
            </c:numRef>
          </c:cat>
          <c:val>
            <c:numRef>
              <c:f>Sum!$K$25:$R$25</c:f>
              <c:numCache>
                <c:formatCode>#,##0;\(#,##0\);\-</c:formatCode>
                <c:ptCount val="8"/>
                <c:pt idx="0">
                  <c:v>468.61453125000003</c:v>
                </c:pt>
                <c:pt idx="1">
                  <c:v>697.54206749765626</c:v>
                </c:pt>
                <c:pt idx="2">
                  <c:v>703.13387709778294</c:v>
                </c:pt>
                <c:pt idx="3">
                  <c:v>768.3998290217728</c:v>
                </c:pt>
                <c:pt idx="4">
                  <c:v>637.06934142894499</c:v>
                </c:pt>
                <c:pt idx="5">
                  <c:v>567.61636220228593</c:v>
                </c:pt>
                <c:pt idx="6">
                  <c:v>635.97525350974058</c:v>
                </c:pt>
                <c:pt idx="7">
                  <c:v>719.51003630009961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D-46AC-A6AB-A44EBB60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01803215"/>
        <c:axId val="401804175"/>
      </c:barChart>
      <c:lineChart>
        <c:grouping val="standard"/>
        <c:varyColors val="0"/>
        <c:ser>
          <c:idx val="2"/>
          <c:order val="2"/>
          <c:tx>
            <c:strRef>
              <c:f>Sum!$G$26</c:f>
              <c:strCache>
                <c:ptCount val="1"/>
                <c:pt idx="0">
                  <c:v>ARR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Sum!$K$26:$R$26</c:f>
              <c:numCache>
                <c:formatCode>#,##0;\(#,##0\);\-</c:formatCode>
                <c:ptCount val="8"/>
                <c:pt idx="0">
                  <c:v>2681.7468749999998</c:v>
                </c:pt>
                <c:pt idx="1">
                  <c:v>2757.1137215343751</c:v>
                </c:pt>
                <c:pt idx="2">
                  <c:v>2867.37518756997</c:v>
                </c:pt>
                <c:pt idx="3">
                  <c:v>3199.3266121460347</c:v>
                </c:pt>
                <c:pt idx="4">
                  <c:v>2230.6736840367048</c:v>
                </c:pt>
                <c:pt idx="5">
                  <c:v>2351.8351592048944</c:v>
                </c:pt>
                <c:pt idx="6">
                  <c:v>2646.7927594035532</c:v>
                </c:pt>
                <c:pt idx="7">
                  <c:v>2999.7355308861597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2D-46AC-A6AB-A44EBB60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116671"/>
        <c:axId val="1074115711"/>
      </c:lineChart>
      <c:catAx>
        <c:axId val="401803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04175"/>
        <c:crosses val="autoZero"/>
        <c:auto val="0"/>
        <c:lblAlgn val="ctr"/>
        <c:lblOffset val="100"/>
        <c:noMultiLvlLbl val="0"/>
      </c:catAx>
      <c:valAx>
        <c:axId val="401804175"/>
        <c:scaling>
          <c:orientation val="minMax"/>
          <c:max val="1100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03215"/>
        <c:crosses val="autoZero"/>
        <c:crossBetween val="between"/>
      </c:valAx>
      <c:valAx>
        <c:axId val="1074115711"/>
        <c:scaling>
          <c:orientation val="minMax"/>
        </c:scaling>
        <c:delete val="0"/>
        <c:axPos val="r"/>
        <c:numFmt formatCode="#,##0;\(#,##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16671"/>
        <c:crosses val="max"/>
        <c:crossBetween val="between"/>
      </c:valAx>
      <c:catAx>
        <c:axId val="1074116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074115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Sum!$G$39</c:f>
              <c:strCache>
                <c:ptCount val="1"/>
                <c:pt idx="0">
                  <c:v>Monthly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Sum!$K$13:$R$13</c:f>
              <c:numCache>
                <c:formatCode>mmm\-yy</c:formatCode>
                <c:ptCount val="8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</c:numCache>
            </c:numRef>
          </c:cat>
          <c:val>
            <c:numRef>
              <c:f>Sum!$K$39:$R$39</c:f>
              <c:numCache>
                <c:formatCode>#,##0;\(#,##0\);\-</c:formatCode>
                <c:ptCount val="8"/>
                <c:pt idx="0">
                  <c:v>225.32203125000001</c:v>
                </c:pt>
                <c:pt idx="1">
                  <c:v>247.79945900390624</c:v>
                </c:pt>
                <c:pt idx="2">
                  <c:v>152.17984276077391</c:v>
                </c:pt>
                <c:pt idx="3">
                  <c:v>93.457445935460271</c:v>
                </c:pt>
                <c:pt idx="4">
                  <c:v>57.394553985114555</c:v>
                </c:pt>
                <c:pt idx="5">
                  <c:v>35.247430466108469</c:v>
                </c:pt>
                <c:pt idx="6">
                  <c:v>21.646328234998869</c:v>
                </c:pt>
                <c:pt idx="7">
                  <c:v>13.293551327318681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AB-4DC1-9684-D5D932B5C766}"/>
            </c:ext>
          </c:extLst>
        </c:ser>
        <c:ser>
          <c:idx val="1"/>
          <c:order val="1"/>
          <c:tx>
            <c:strRef>
              <c:f>Sum!$G$40</c:f>
              <c:strCache>
                <c:ptCount val="1"/>
                <c:pt idx="0">
                  <c:v>Annual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Sum!$K$13:$R$13</c:f>
              <c:numCache>
                <c:formatCode>mmm\-yy</c:formatCode>
                <c:ptCount val="8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</c:numCache>
            </c:numRef>
          </c:cat>
          <c:val>
            <c:numRef>
              <c:f>Sum!$K$40:$R$40</c:f>
              <c:numCache>
                <c:formatCode>#,##0;\(#,##0\);\-</c:formatCode>
                <c:ptCount val="8"/>
                <c:pt idx="0">
                  <c:v>243.29250000000002</c:v>
                </c:pt>
                <c:pt idx="1">
                  <c:v>449.74260849375003</c:v>
                </c:pt>
                <c:pt idx="2">
                  <c:v>550.95403433700903</c:v>
                </c:pt>
                <c:pt idx="3">
                  <c:v>674.94238308631247</c:v>
                </c:pt>
                <c:pt idx="4">
                  <c:v>579.6747874438305</c:v>
                </c:pt>
                <c:pt idx="5">
                  <c:v>532.3689317361775</c:v>
                </c:pt>
                <c:pt idx="6">
                  <c:v>614.32892527474178</c:v>
                </c:pt>
                <c:pt idx="7">
                  <c:v>706.21648497278102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AB-4DC1-9684-D5D932B5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940458543"/>
        <c:axId val="940459503"/>
      </c:barChart>
      <c:lineChart>
        <c:grouping val="standard"/>
        <c:varyColors val="0"/>
        <c:ser>
          <c:idx val="2"/>
          <c:order val="2"/>
          <c:tx>
            <c:strRef>
              <c:f>Sum!$G$41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Sum!$K$41:$R$41</c:f>
              <c:numCache>
                <c:formatCode>#,##0;\(#,##0\);\-</c:formatCode>
                <c:ptCount val="8"/>
                <c:pt idx="0">
                  <c:v>468.61453125000003</c:v>
                </c:pt>
                <c:pt idx="1">
                  <c:v>697.54206749765626</c:v>
                </c:pt>
                <c:pt idx="2">
                  <c:v>703.13387709778294</c:v>
                </c:pt>
                <c:pt idx="3">
                  <c:v>768.3998290217728</c:v>
                </c:pt>
                <c:pt idx="4">
                  <c:v>637.06934142894499</c:v>
                </c:pt>
                <c:pt idx="5">
                  <c:v>567.61636220228593</c:v>
                </c:pt>
                <c:pt idx="6">
                  <c:v>635.97525350974058</c:v>
                </c:pt>
                <c:pt idx="7">
                  <c:v>719.51003630009961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AB-4DC1-9684-D5D932B5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458543"/>
        <c:axId val="940459503"/>
      </c:lineChart>
      <c:catAx>
        <c:axId val="9404585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59503"/>
        <c:crosses val="autoZero"/>
        <c:auto val="0"/>
        <c:lblAlgn val="ctr"/>
        <c:lblOffset val="100"/>
        <c:noMultiLvlLbl val="0"/>
      </c:catAx>
      <c:valAx>
        <c:axId val="940459503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58543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Fin.Mth!$K$68:$AI$68</c:f>
              <c:numCache>
                <c:formatCode>#,##0;\(#,##0\);\-</c:formatCode>
                <c:ptCount val="25"/>
                <c:pt idx="0">
                  <c:v>3000</c:v>
                </c:pt>
                <c:pt idx="1">
                  <c:v>2441.0652821061644</c:v>
                </c:pt>
                <c:pt idx="2">
                  <c:v>2564.1669697773973</c:v>
                </c:pt>
                <c:pt idx="3">
                  <c:v>2522.3499118792806</c:v>
                </c:pt>
                <c:pt idx="4">
                  <c:v>2498.2765259895118</c:v>
                </c:pt>
                <c:pt idx="5">
                  <c:v>2342.9853168715304</c:v>
                </c:pt>
                <c:pt idx="6">
                  <c:v>2167.8619833815583</c:v>
                </c:pt>
                <c:pt idx="7">
                  <c:v>2002.4398091900216</c:v>
                </c:pt>
                <c:pt idx="8">
                  <c:v>1841.0065265780645</c:v>
                </c:pt>
                <c:pt idx="9">
                  <c:v>1658.8756600151689</c:v>
                </c:pt>
                <c:pt idx="10">
                  <c:v>1486.1447349842906</c:v>
                </c:pt>
                <c:pt idx="11">
                  <c:v>4562.74939428374</c:v>
                </c:pt>
                <c:pt idx="12">
                  <c:v>4342.028972229994</c:v>
                </c:pt>
                <c:pt idx="13">
                  <c:v>4110.998430370435</c:v>
                </c:pt>
                <c:pt idx="14">
                  <c:v>3864.5473902371841</c:v>
                </c:pt>
                <c:pt idx="15">
                  <c:v>3637.8769158290092</c:v>
                </c:pt>
                <c:pt idx="16">
                  <c:v>3427.1123174383397</c:v>
                </c:pt>
                <c:pt idx="17">
                  <c:v>3214.6276863963731</c:v>
                </c:pt>
                <c:pt idx="18">
                  <c:v>2980.6072737409131</c:v>
                </c:pt>
                <c:pt idx="19">
                  <c:v>2755.0199372155903</c:v>
                </c:pt>
                <c:pt idx="20">
                  <c:v>2533.496969467471</c:v>
                </c:pt>
                <c:pt idx="21">
                  <c:v>2277.7755607620438</c:v>
                </c:pt>
                <c:pt idx="22">
                  <c:v>2031.5671218755717</c:v>
                </c:pt>
                <c:pt idx="23">
                  <c:v>1789.9993874200195</c:v>
                </c:pt>
                <c:pt idx="24">
                  <c:v>1499.9999999999986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F-479E-BFF2-7926325F3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588207"/>
        <c:axId val="1075589167"/>
      </c:lineChart>
      <c:catAx>
        <c:axId val="1075588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89167"/>
        <c:crosses val="autoZero"/>
        <c:auto val="1"/>
        <c:lblAlgn val="ctr"/>
        <c:lblOffset val="100"/>
        <c:noMultiLvlLbl val="0"/>
      </c:catAx>
      <c:valAx>
        <c:axId val="1075589167"/>
        <c:scaling>
          <c:orientation val="minMax"/>
        </c:scaling>
        <c:delete val="0"/>
        <c:axPos val="l"/>
        <c:numFmt formatCode="#,##0;\(#,##0\);\-" sourceLinked="1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8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Fin.Qtr!$B$33</c:f>
              <c:strCache>
                <c:ptCount val="1"/>
                <c:pt idx="0">
                  <c:v>CAC Payback (Monthly)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Sum!$L$13:$R$13</c:f>
              <c:numCache>
                <c:formatCode>mmm\-yy</c:formatCode>
                <c:ptCount val="7"/>
                <c:pt idx="0">
                  <c:v>45473</c:v>
                </c:pt>
                <c:pt idx="1">
                  <c:v>45565</c:v>
                </c:pt>
                <c:pt idx="2">
                  <c:v>45657</c:v>
                </c:pt>
                <c:pt idx="3">
                  <c:v>45747</c:v>
                </c:pt>
                <c:pt idx="4">
                  <c:v>45838</c:v>
                </c:pt>
                <c:pt idx="5">
                  <c:v>45930</c:v>
                </c:pt>
                <c:pt idx="6">
                  <c:v>46022</c:v>
                </c:pt>
              </c:numCache>
            </c:numRef>
          </c:cat>
          <c:val>
            <c:numRef>
              <c:f>Fin.Qtr!$M$33:$S$33</c:f>
              <c:numCache>
                <c:formatCode>#,##0.0;\(#,##0.0\);\-</c:formatCode>
                <c:ptCount val="7"/>
                <c:pt idx="0">
                  <c:v>7.9432271142408206</c:v>
                </c:pt>
                <c:pt idx="1">
                  <c:v>7.8733973671253148</c:v>
                </c:pt>
                <c:pt idx="2">
                  <c:v>7.8658392693346562</c:v>
                </c:pt>
                <c:pt idx="3">
                  <c:v>7.6802093569788665</c:v>
                </c:pt>
                <c:pt idx="4">
                  <c:v>7.7217483583440272</c:v>
                </c:pt>
                <c:pt idx="5">
                  <c:v>7.7293888414982801</c:v>
                </c:pt>
                <c:pt idx="6">
                  <c:v>7.7386804321453013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4-4876-8B5B-55DFB01524C0}"/>
            </c:ext>
          </c:extLst>
        </c:ser>
        <c:ser>
          <c:idx val="1"/>
          <c:order val="1"/>
          <c:tx>
            <c:strRef>
              <c:f>Fin.Qtr!$B$34</c:f>
              <c:strCache>
                <c:ptCount val="1"/>
                <c:pt idx="0">
                  <c:v>CAC Payback (Annual)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Sum!$L$13:$R$13</c:f>
              <c:numCache>
                <c:formatCode>mmm\-yy</c:formatCode>
                <c:ptCount val="7"/>
                <c:pt idx="0">
                  <c:v>45473</c:v>
                </c:pt>
                <c:pt idx="1">
                  <c:v>45565</c:v>
                </c:pt>
                <c:pt idx="2">
                  <c:v>45657</c:v>
                </c:pt>
                <c:pt idx="3">
                  <c:v>45747</c:v>
                </c:pt>
                <c:pt idx="4">
                  <c:v>45838</c:v>
                </c:pt>
                <c:pt idx="5">
                  <c:v>45930</c:v>
                </c:pt>
                <c:pt idx="6">
                  <c:v>46022</c:v>
                </c:pt>
              </c:numCache>
            </c:numRef>
          </c:cat>
          <c:val>
            <c:numRef>
              <c:f>Fin.Qtr!$M$34:$S$34</c:f>
              <c:numCache>
                <c:formatCode>#,##0.0;\(#,##0.0\);\-</c:formatCode>
                <c:ptCount val="7"/>
                <c:pt idx="0">
                  <c:v>0.7221115558400748</c:v>
                </c:pt>
                <c:pt idx="1">
                  <c:v>0.71576339701139224</c:v>
                </c:pt>
                <c:pt idx="2">
                  <c:v>0.71507629721224142</c:v>
                </c:pt>
                <c:pt idx="3">
                  <c:v>0.69820085063444248</c:v>
                </c:pt>
                <c:pt idx="4">
                  <c:v>0.70197712348582053</c:v>
                </c:pt>
                <c:pt idx="5">
                  <c:v>0.70267171286348018</c:v>
                </c:pt>
                <c:pt idx="6">
                  <c:v>0.70351640292230011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4-4876-8B5B-55DFB0152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607424"/>
        <c:axId val="493594464"/>
      </c:barChart>
      <c:lineChart>
        <c:grouping val="standard"/>
        <c:varyColors val="0"/>
        <c:ser>
          <c:idx val="2"/>
          <c:order val="2"/>
          <c:tx>
            <c:strRef>
              <c:f>Fin.Qtr!$B$35</c:f>
              <c:strCache>
                <c:ptCount val="1"/>
                <c:pt idx="0">
                  <c:v>GDR (Monthly)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Fin.Qtr!$M$35:$S$35</c:f>
              <c:numCache>
                <c:formatCode>#,##0.00;\(#,##0.00\);\-</c:formatCode>
                <c:ptCount val="7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B4-4876-8B5B-55DFB01524C0}"/>
            </c:ext>
          </c:extLst>
        </c:ser>
        <c:ser>
          <c:idx val="3"/>
          <c:order val="3"/>
          <c:tx>
            <c:strRef>
              <c:f>Fin.Qtr!$B$36</c:f>
              <c:strCache>
                <c:ptCount val="1"/>
                <c:pt idx="0">
                  <c:v>GDR (Annual)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Fin.Qtr!$M$36:$S$36</c:f>
              <c:numCache>
                <c:formatCode>#,##0.00;\(#,##0.00\);\-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0.93586809207975652</c:v>
                </c:pt>
                <c:pt idx="4">
                  <c:v>0.9867309186527673</c:v>
                </c:pt>
                <c:pt idx="5">
                  <c:v>0.98621813696893135</c:v>
                </c:pt>
                <c:pt idx="6">
                  <c:v>0.98566412443877527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4-4876-8B5B-55DFB0152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613664"/>
        <c:axId val="493617024"/>
      </c:lineChart>
      <c:catAx>
        <c:axId val="4936074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94464"/>
        <c:crosses val="autoZero"/>
        <c:auto val="0"/>
        <c:lblAlgn val="ctr"/>
        <c:lblOffset val="100"/>
        <c:noMultiLvlLbl val="0"/>
      </c:catAx>
      <c:valAx>
        <c:axId val="493594464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07424"/>
        <c:crosses val="autoZero"/>
        <c:crossBetween val="between"/>
      </c:valAx>
      <c:valAx>
        <c:axId val="493617024"/>
        <c:scaling>
          <c:orientation val="minMax"/>
        </c:scaling>
        <c:delete val="0"/>
        <c:axPos val="r"/>
        <c:numFmt formatCode="#,##0.00;\(#,##0.0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613664"/>
        <c:crosses val="max"/>
        <c:crossBetween val="between"/>
      </c:valAx>
      <c:catAx>
        <c:axId val="493613664"/>
        <c:scaling>
          <c:orientation val="minMax"/>
        </c:scaling>
        <c:delete val="1"/>
        <c:axPos val="b"/>
        <c:majorTickMark val="out"/>
        <c:minorTickMark val="none"/>
        <c:tickLblPos val="nextTo"/>
        <c:crossAx val="493617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Sum!$AG$44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Sum!$AE$45:$AE$48</c:f>
              <c:strCache>
                <c:ptCount val="4"/>
                <c:pt idx="0">
                  <c:v>Base Case ARR</c:v>
                </c:pt>
                <c:pt idx="1">
                  <c:v>Add: ARR from Monthly Churn Reduction</c:v>
                </c:pt>
                <c:pt idx="2">
                  <c:v>Add: ARR from Annual Churn Reduction</c:v>
                </c:pt>
                <c:pt idx="3">
                  <c:v>Revised ARR</c:v>
                </c:pt>
              </c:strCache>
            </c:strRef>
          </c:cat>
          <c:val>
            <c:numRef>
              <c:f>Sum!$AG$45:$AG$48</c:f>
              <c:numCache>
                <c:formatCode>#,##0;\(#,##0\);\-</c:formatCode>
                <c:ptCount val="4"/>
                <c:pt idx="1">
                  <c:v>2999.7355308861597</c:v>
                </c:pt>
                <c:pt idx="2">
                  <c:v>3459.7404375776891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6-4443-9E33-B16C99811ACB}"/>
            </c:ext>
          </c:extLst>
        </c:ser>
        <c:ser>
          <c:idx val="1"/>
          <c:order val="1"/>
          <c:tx>
            <c:strRef>
              <c:f>Sum!$AH$44</c:f>
              <c:strCache>
                <c:ptCount val="1"/>
                <c:pt idx="0">
                  <c:v>Inc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Sum!$AE$45:$AE$48</c:f>
              <c:strCache>
                <c:ptCount val="4"/>
                <c:pt idx="0">
                  <c:v>Base Case ARR</c:v>
                </c:pt>
                <c:pt idx="1">
                  <c:v>Add: ARR from Monthly Churn Reduction</c:v>
                </c:pt>
                <c:pt idx="2">
                  <c:v>Add: ARR from Annual Churn Reduction</c:v>
                </c:pt>
                <c:pt idx="3">
                  <c:v>Revised ARR</c:v>
                </c:pt>
              </c:strCache>
            </c:strRef>
          </c:cat>
          <c:val>
            <c:numRef>
              <c:f>Sum!$AH$45:$AH$48</c:f>
              <c:numCache>
                <c:formatCode>#,##0;\(#,##0\);\-</c:formatCode>
                <c:ptCount val="4"/>
                <c:pt idx="1">
                  <c:v>460.00490669152941</c:v>
                </c:pt>
                <c:pt idx="2">
                  <c:v>187.66475917888874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6-4443-9E33-B16C99811ACB}"/>
            </c:ext>
          </c:extLst>
        </c:ser>
        <c:ser>
          <c:idx val="2"/>
          <c:order val="2"/>
          <c:tx>
            <c:strRef>
              <c:f>Sum!$AI$44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Sum!$AE$45:$AE$48</c:f>
              <c:strCache>
                <c:ptCount val="4"/>
                <c:pt idx="0">
                  <c:v>Base Case ARR</c:v>
                </c:pt>
                <c:pt idx="1">
                  <c:v>Add: ARR from Monthly Churn Reduction</c:v>
                </c:pt>
                <c:pt idx="2">
                  <c:v>Add: ARR from Annual Churn Reduction</c:v>
                </c:pt>
                <c:pt idx="3">
                  <c:v>Revised ARR</c:v>
                </c:pt>
              </c:strCache>
            </c:strRef>
          </c:cat>
          <c:val>
            <c:numRef>
              <c:f>Sum!$AI$45:$AI$48</c:f>
              <c:numCache>
                <c:formatCode>General</c:formatCode>
                <c:ptCount val="4"/>
                <c:pt idx="0" formatCode="#,##0;\(#,##0\);\-">
                  <c:v>2999.7355308861597</c:v>
                </c:pt>
                <c:pt idx="3" formatCode="#,##0;\(#,##0\);\-">
                  <c:v>3647.4051967565779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6-4443-9E33-B16C99811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360976"/>
        <c:axId val="800359056"/>
      </c:barChart>
      <c:catAx>
        <c:axId val="8003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59056"/>
        <c:crosses val="autoZero"/>
        <c:auto val="1"/>
        <c:lblAlgn val="ctr"/>
        <c:lblOffset val="100"/>
        <c:noMultiLvlLbl val="0"/>
      </c:catAx>
      <c:valAx>
        <c:axId val="80035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6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Sum!$AN$12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Sum!$AL$13:$AL$16</c:f>
              <c:strCache>
                <c:ptCount val="4"/>
                <c:pt idx="0">
                  <c:v>Base Case ARR</c:v>
                </c:pt>
                <c:pt idx="1">
                  <c:v>Add: ARR from Price Escalation</c:v>
                </c:pt>
                <c:pt idx="2">
                  <c:v>Add: ARR from Upsell from Monthly to Annual</c:v>
                </c:pt>
                <c:pt idx="3">
                  <c:v>Revised ARR</c:v>
                </c:pt>
              </c:strCache>
            </c:strRef>
          </c:cat>
          <c:val>
            <c:numRef>
              <c:f>Sum!$AN$13:$AN$16</c:f>
              <c:numCache>
                <c:formatCode>#,##0;\(#,##0\);\-</c:formatCode>
                <c:ptCount val="4"/>
                <c:pt idx="1">
                  <c:v>2999.7355308861597</c:v>
                </c:pt>
                <c:pt idx="2">
                  <c:v>3101.0088471614117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B-442F-8151-69A19C63806C}"/>
            </c:ext>
          </c:extLst>
        </c:ser>
        <c:ser>
          <c:idx val="1"/>
          <c:order val="1"/>
          <c:tx>
            <c:strRef>
              <c:f>Sum!$AO$12</c:f>
              <c:strCache>
                <c:ptCount val="1"/>
                <c:pt idx="0">
                  <c:v>Inc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Sum!$AL$13:$AL$16</c:f>
              <c:strCache>
                <c:ptCount val="4"/>
                <c:pt idx="0">
                  <c:v>Base Case ARR</c:v>
                </c:pt>
                <c:pt idx="1">
                  <c:v>Add: ARR from Price Escalation</c:v>
                </c:pt>
                <c:pt idx="2">
                  <c:v>Add: ARR from Upsell from Monthly to Annual</c:v>
                </c:pt>
                <c:pt idx="3">
                  <c:v>Revised ARR</c:v>
                </c:pt>
              </c:strCache>
            </c:strRef>
          </c:cat>
          <c:val>
            <c:numRef>
              <c:f>Sum!$AO$13:$AO$16</c:f>
              <c:numCache>
                <c:formatCode>#,##0;\(#,##0\);\-</c:formatCode>
                <c:ptCount val="4"/>
                <c:pt idx="1">
                  <c:v>101.273316275252</c:v>
                </c:pt>
                <c:pt idx="2">
                  <c:v>661.93336136596054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7B-442F-8151-69A19C63806C}"/>
            </c:ext>
          </c:extLst>
        </c:ser>
        <c:ser>
          <c:idx val="2"/>
          <c:order val="2"/>
          <c:tx>
            <c:strRef>
              <c:f>Sum!$AP$12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Sum!$AL$13:$AL$16</c:f>
              <c:strCache>
                <c:ptCount val="4"/>
                <c:pt idx="0">
                  <c:v>Base Case ARR</c:v>
                </c:pt>
                <c:pt idx="1">
                  <c:v>Add: ARR from Price Escalation</c:v>
                </c:pt>
                <c:pt idx="2">
                  <c:v>Add: ARR from Upsell from Monthly to Annual</c:v>
                </c:pt>
                <c:pt idx="3">
                  <c:v>Revised ARR</c:v>
                </c:pt>
              </c:strCache>
            </c:strRef>
          </c:cat>
          <c:val>
            <c:numRef>
              <c:f>Sum!$AP$13:$AP$16</c:f>
              <c:numCache>
                <c:formatCode>General</c:formatCode>
                <c:ptCount val="4"/>
                <c:pt idx="0" formatCode="#,##0;\(#,##0\);\-">
                  <c:v>2999.7355308861597</c:v>
                </c:pt>
                <c:pt idx="3" formatCode="#,##0;\(#,##0\);\-">
                  <c:v>3762.9422085273723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7B-442F-8151-69A19C638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360976"/>
        <c:axId val="800359056"/>
      </c:barChart>
      <c:catAx>
        <c:axId val="80036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59056"/>
        <c:crosses val="autoZero"/>
        <c:auto val="1"/>
        <c:lblAlgn val="ctr"/>
        <c:lblOffset val="100"/>
        <c:noMultiLvlLbl val="0"/>
      </c:catAx>
      <c:valAx>
        <c:axId val="80035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6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Sum!$AP$29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Sum!$AP$30:$AP$33</c:f>
              <c:numCache>
                <c:formatCode>#,##0;\(#,##0\);\-</c:formatCode>
                <c:ptCount val="4"/>
                <c:pt idx="0">
                  <c:v>-299.97355308861461</c:v>
                </c:pt>
                <c:pt idx="1">
                  <c:v>-229.49097955828074</c:v>
                </c:pt>
                <c:pt idx="2">
                  <c:v>-576.28045075870205</c:v>
                </c:pt>
                <c:pt idx="3">
                  <c:v>-299.97355308861597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A-45DB-ABE5-F98ED31915A8}"/>
            </c:ext>
          </c:extLst>
        </c:ser>
        <c:ser>
          <c:idx val="1"/>
          <c:order val="1"/>
          <c:tx>
            <c:strRef>
              <c:f>Sum!$AQ$29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Sum!$AQ$30:$AQ$33</c:f>
              <c:numCache>
                <c:formatCode>#,##0;\(#,##0\);\-</c:formatCode>
                <c:ptCount val="4"/>
                <c:pt idx="0">
                  <c:v>299.97355308861597</c:v>
                </c:pt>
                <c:pt idx="1">
                  <c:v>647.66966587041816</c:v>
                </c:pt>
                <c:pt idx="2">
                  <c:v>674.21316713973329</c:v>
                </c:pt>
                <c:pt idx="3">
                  <c:v>299.97355308861734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A-45DB-ABE5-F98ED319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886497712"/>
        <c:axId val="886494832"/>
      </c:barChart>
      <c:catAx>
        <c:axId val="8864977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94832"/>
        <c:crosses val="autoZero"/>
        <c:auto val="1"/>
        <c:lblAlgn val="ctr"/>
        <c:lblOffset val="100"/>
        <c:noMultiLvlLbl val="0"/>
      </c:catAx>
      <c:valAx>
        <c:axId val="88649483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4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H11" max="13" min="1" page="10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613410</xdr:colOff>
          <xdr:row>9</xdr:row>
          <xdr:rowOff>182880</xdr:rowOff>
        </xdr:from>
        <xdr:to>
          <xdr:col>6</xdr:col>
          <xdr:colOff>624840</xdr:colOff>
          <xdr:row>12</xdr:row>
          <xdr:rowOff>3810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12</xdr:row>
      <xdr:rowOff>0</xdr:rowOff>
    </xdr:from>
    <xdr:to>
      <xdr:col>29</xdr:col>
      <xdr:colOff>0</xdr:colOff>
      <xdr:row>26</xdr:row>
      <xdr:rowOff>5862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A5622F-766C-409E-875A-B70054ADC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12</xdr:row>
      <xdr:rowOff>0</xdr:rowOff>
    </xdr:from>
    <xdr:to>
      <xdr:col>36</xdr:col>
      <xdr:colOff>0</xdr:colOff>
      <xdr:row>26</xdr:row>
      <xdr:rowOff>5862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1A4056-884E-4A90-B7CB-56A1EEFAC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27</xdr:row>
      <xdr:rowOff>181707</xdr:rowOff>
    </xdr:from>
    <xdr:to>
      <xdr:col>28</xdr:col>
      <xdr:colOff>615462</xdr:colOff>
      <xdr:row>41</xdr:row>
      <xdr:rowOff>158260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3F06DE-8AD9-4A10-89A4-B57DA0ED9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36</xdr:col>
      <xdr:colOff>11723</xdr:colOff>
      <xdr:row>41</xdr:row>
      <xdr:rowOff>164123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3064DB-617E-4D85-A88E-94DD9FC7B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44</xdr:row>
      <xdr:rowOff>0</xdr:rowOff>
    </xdr:from>
    <xdr:to>
      <xdr:col>28</xdr:col>
      <xdr:colOff>623454</xdr:colOff>
      <xdr:row>57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9A864-EE39-4269-9DE6-44A7DB579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49</xdr:row>
      <xdr:rowOff>0</xdr:rowOff>
    </xdr:from>
    <xdr:to>
      <xdr:col>36</xdr:col>
      <xdr:colOff>17318</xdr:colOff>
      <xdr:row>57</xdr:row>
      <xdr:rowOff>161636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D16768-4689-4CE7-AD2A-9AF54CF3B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0</xdr:colOff>
      <xdr:row>17</xdr:row>
      <xdr:rowOff>0</xdr:rowOff>
    </xdr:from>
    <xdr:to>
      <xdr:col>43</xdr:col>
      <xdr:colOff>11545</xdr:colOff>
      <xdr:row>26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AD0542D-2C18-4FF9-9143-767BCEAD3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29135</xdr:colOff>
      <xdr:row>33</xdr:row>
      <xdr:rowOff>103094</xdr:rowOff>
    </xdr:from>
    <xdr:to>
      <xdr:col>43</xdr:col>
      <xdr:colOff>13448</xdr:colOff>
      <xdr:row>45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CDB028B-DACD-6635-FB7C-27F38A19A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FAB0-E465-4CE8-AE2C-2BC698070631}">
  <sheetPr>
    <tabColor theme="4"/>
  </sheetPr>
  <dimension ref="A1:Z76"/>
  <sheetViews>
    <sheetView showGridLines="0" zoomScale="85" zoomScaleNormal="85" workbookViewId="0">
      <pane xSplit="8" ySplit="13" topLeftCell="I14" activePane="bottomRight" state="frozen"/>
      <selection activeCell="Q137" sqref="Q137"/>
      <selection pane="topRight" activeCell="Q137" sqref="Q137"/>
      <selection pane="bottomLeft" activeCell="Q137" sqref="Q137"/>
      <selection pane="bottomRight"/>
    </sheetView>
  </sheetViews>
  <sheetFormatPr defaultRowHeight="12.9" x14ac:dyDescent="0.5"/>
  <cols>
    <col min="1" max="1" width="2.578125" style="10" customWidth="1"/>
    <col min="2" max="5" width="8.83984375" style="10"/>
    <col min="6" max="6" width="8.83984375" style="186"/>
    <col min="7" max="7" width="8.83984375" style="10"/>
    <col min="8" max="23" width="9" style="183" customWidth="1"/>
    <col min="24" max="16384" width="8.83984375" style="10"/>
  </cols>
  <sheetData>
    <row r="1" spans="1:23" customFormat="1" ht="6" customHeight="1" thickBot="1" x14ac:dyDescent="0.6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customFormat="1" ht="3" customHeight="1" x14ac:dyDescent="0.55000000000000004">
      <c r="A2" s="1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customFormat="1" ht="15.6" x14ac:dyDescent="0.55000000000000004">
      <c r="A3" s="1"/>
      <c r="B3" s="6" t="s">
        <v>248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customFormat="1" ht="14.4" x14ac:dyDescent="0.55000000000000004">
      <c r="A4" s="1"/>
      <c r="B4" s="7" t="s">
        <v>155</v>
      </c>
      <c r="C4" s="4"/>
      <c r="D4" s="4"/>
      <c r="E4" s="4"/>
      <c r="G4" s="8" t="s">
        <v>138</v>
      </c>
      <c r="H4" s="8" t="s">
        <v>176</v>
      </c>
      <c r="I4" s="8" t="s">
        <v>178</v>
      </c>
      <c r="J4" s="8" t="s">
        <v>177</v>
      </c>
      <c r="K4" s="8" t="s">
        <v>184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5">
      <c r="A5" s="1"/>
      <c r="B5" s="9" t="str">
        <f ca="1">"CASE "&amp;$H$11&amp;": "&amp;H12</f>
        <v>CASE 1: BASE CASE</v>
      </c>
      <c r="C5" s="4"/>
      <c r="D5" s="4"/>
      <c r="E5" s="4"/>
      <c r="F5" s="10"/>
      <c r="G5" s="11">
        <f ca="1">Sum!$E$19</f>
        <v>16</v>
      </c>
      <c r="H5" s="12">
        <f ca="1">Sum!$E$28</f>
        <v>3259.9200858489485</v>
      </c>
      <c r="I5" s="13">
        <f ca="1">Sum!$E$21</f>
        <v>45626</v>
      </c>
      <c r="J5" s="12">
        <f ca="1">'Calc.Mth'!$AI$57</f>
        <v>2999.7355308861597</v>
      </c>
      <c r="K5" s="12">
        <f ca="1">Fin.Mth!$AI$81</f>
        <v>1487.7626164462733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customFormat="1" ht="14.4" x14ac:dyDescent="0.55000000000000004">
      <c r="A6" s="1"/>
      <c r="B6" s="7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customFormat="1" ht="3" customHeight="1" thickBot="1" x14ac:dyDescent="0.6">
      <c r="A7" s="1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customFormat="1" ht="3" customHeight="1" x14ac:dyDescent="0.55000000000000004">
      <c r="A8" s="1"/>
      <c r="B8" s="4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3" customHeight="1" x14ac:dyDescent="0.5">
      <c r="A9" s="1"/>
      <c r="B9" s="4"/>
      <c r="C9" s="4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4.7" x14ac:dyDescent="0.8">
      <c r="A10" s="1"/>
      <c r="B10" s="4"/>
      <c r="C10" s="4"/>
      <c r="D10" s="4"/>
      <c r="E10" s="4"/>
      <c r="F10" s="5"/>
      <c r="G10" s="5"/>
      <c r="H10" s="5"/>
      <c r="I10" s="174" t="s">
        <v>229</v>
      </c>
      <c r="J10" s="174"/>
      <c r="K10" s="174"/>
      <c r="L10" s="174"/>
      <c r="M10" s="174"/>
      <c r="N10" s="174"/>
      <c r="O10" s="174"/>
      <c r="P10" s="174" t="s">
        <v>230</v>
      </c>
      <c r="Q10" s="174"/>
      <c r="R10" s="174"/>
      <c r="S10" s="174"/>
      <c r="T10" s="174"/>
      <c r="U10" s="174"/>
      <c r="V10" s="174"/>
      <c r="W10" s="174"/>
    </row>
    <row r="11" spans="1:23" x14ac:dyDescent="0.5">
      <c r="F11" s="10"/>
      <c r="H11" s="175">
        <v>1</v>
      </c>
      <c r="I11" s="176">
        <v>1</v>
      </c>
      <c r="J11" s="176">
        <f>I11+1</f>
        <v>2</v>
      </c>
      <c r="K11" s="176">
        <f t="shared" ref="K11:N11" si="0">J11+1</f>
        <v>3</v>
      </c>
      <c r="L11" s="176">
        <f t="shared" si="0"/>
        <v>4</v>
      </c>
      <c r="M11" s="176">
        <f t="shared" si="0"/>
        <v>5</v>
      </c>
      <c r="N11" s="176">
        <f t="shared" si="0"/>
        <v>6</v>
      </c>
      <c r="O11" s="177">
        <f t="shared" ref="O11" si="1">N11+1</f>
        <v>7</v>
      </c>
      <c r="P11" s="178">
        <f t="shared" ref="P11" si="2">O11+1</f>
        <v>8</v>
      </c>
      <c r="Q11" s="176">
        <f t="shared" ref="Q11" si="3">P11+1</f>
        <v>9</v>
      </c>
      <c r="R11" s="176">
        <f t="shared" ref="R11" si="4">Q11+1</f>
        <v>10</v>
      </c>
      <c r="S11" s="176">
        <f t="shared" ref="S11" si="5">R11+1</f>
        <v>11</v>
      </c>
      <c r="T11" s="176">
        <f t="shared" ref="T11" si="6">S11+1</f>
        <v>12</v>
      </c>
      <c r="U11" s="176">
        <f t="shared" ref="U11" si="7">T11+1</f>
        <v>13</v>
      </c>
      <c r="V11" s="176">
        <f t="shared" ref="V11" si="8">U11+1</f>
        <v>14</v>
      </c>
      <c r="W11" s="176">
        <f t="shared" ref="W11" si="9">V11+1</f>
        <v>15</v>
      </c>
    </row>
    <row r="12" spans="1:23" s="4" customFormat="1" ht="45" customHeight="1" x14ac:dyDescent="0.55000000000000004">
      <c r="B12" s="72" t="s">
        <v>157</v>
      </c>
      <c r="H12" s="179" t="str">
        <f ca="1">OFFSET(H12,,H11)</f>
        <v>BASE CASE</v>
      </c>
      <c r="I12" s="179" t="s">
        <v>156</v>
      </c>
      <c r="J12" s="179" t="s">
        <v>201</v>
      </c>
      <c r="K12" s="179" t="s">
        <v>214</v>
      </c>
      <c r="L12" s="179" t="s">
        <v>215</v>
      </c>
      <c r="M12" s="179" t="s">
        <v>219</v>
      </c>
      <c r="N12" s="179" t="s">
        <v>220</v>
      </c>
      <c r="O12" s="180" t="s">
        <v>189</v>
      </c>
      <c r="P12" s="181" t="s">
        <v>237</v>
      </c>
      <c r="Q12" s="182" t="s">
        <v>238</v>
      </c>
      <c r="R12" s="182" t="s">
        <v>231</v>
      </c>
      <c r="S12" s="182" t="s">
        <v>232</v>
      </c>
      <c r="T12" s="182" t="s">
        <v>236</v>
      </c>
      <c r="U12" s="182" t="s">
        <v>235</v>
      </c>
      <c r="V12" s="182" t="s">
        <v>233</v>
      </c>
      <c r="W12" s="182" t="s">
        <v>234</v>
      </c>
    </row>
    <row r="13" spans="1:23" ht="3" customHeight="1" x14ac:dyDescent="0.5">
      <c r="F13" s="10"/>
      <c r="O13" s="184"/>
    </row>
    <row r="14" spans="1:23" ht="3" customHeight="1" x14ac:dyDescent="0.5">
      <c r="F14" s="10"/>
      <c r="N14" s="183">
        <v>1</v>
      </c>
      <c r="O14" s="184"/>
    </row>
    <row r="15" spans="1:23" x14ac:dyDescent="0.5">
      <c r="A15" s="82" t="s">
        <v>10</v>
      </c>
      <c r="B15" s="83" t="s">
        <v>221</v>
      </c>
      <c r="C15" s="83"/>
      <c r="D15" s="83"/>
      <c r="E15" s="83"/>
      <c r="F15" s="85"/>
      <c r="G15" s="85"/>
      <c r="H15" s="85"/>
      <c r="I15" s="85"/>
      <c r="J15" s="85"/>
      <c r="K15" s="85"/>
      <c r="L15" s="85"/>
      <c r="M15" s="85"/>
      <c r="N15" s="85"/>
      <c r="O15" s="185"/>
      <c r="P15" s="85"/>
      <c r="Q15" s="85"/>
      <c r="R15" s="85"/>
      <c r="S15" s="85"/>
      <c r="T15" s="85"/>
      <c r="U15" s="85"/>
      <c r="V15" s="85"/>
      <c r="W15" s="85"/>
    </row>
    <row r="16" spans="1:23" ht="3" customHeight="1" x14ac:dyDescent="0.5">
      <c r="F16" s="10"/>
      <c r="O16" s="184"/>
    </row>
    <row r="17" spans="1:26" x14ac:dyDescent="0.5">
      <c r="B17" s="10" t="s">
        <v>222</v>
      </c>
      <c r="F17" s="186" t="s">
        <v>199</v>
      </c>
      <c r="H17" s="187">
        <f ca="1">H5</f>
        <v>3259.9200858489485</v>
      </c>
      <c r="I17" s="188">
        <v>3259.9200858489485</v>
      </c>
      <c r="J17" s="188">
        <v>4893.9226409699859</v>
      </c>
      <c r="K17" s="188">
        <v>3516.2756853072997</v>
      </c>
      <c r="L17" s="188">
        <v>3555.9475783502066</v>
      </c>
      <c r="M17" s="188">
        <v>3168.3163280833242</v>
      </c>
      <c r="N17" s="188">
        <v>3167.8481684675335</v>
      </c>
      <c r="O17" s="189">
        <v>3258.6784446677093</v>
      </c>
      <c r="P17" s="190">
        <v>3225.5844066600157</v>
      </c>
      <c r="Q17" s="188">
        <v>3134.205765037882</v>
      </c>
      <c r="R17" s="188">
        <v>3555.9475783502066</v>
      </c>
      <c r="S17" s="188">
        <v>3199.7230216604221</v>
      </c>
      <c r="T17" s="188">
        <v>3330.8752599403697</v>
      </c>
      <c r="U17" s="188">
        <v>3254.7806210285089</v>
      </c>
      <c r="V17" s="188">
        <v>2858.7618873265619</v>
      </c>
      <c r="W17" s="188">
        <v>3763.2282843713347</v>
      </c>
    </row>
    <row r="18" spans="1:26" x14ac:dyDescent="0.5">
      <c r="B18" s="10" t="s">
        <v>227</v>
      </c>
      <c r="F18" s="186" t="s">
        <v>228</v>
      </c>
      <c r="H18" s="191">
        <f ca="1">Sum!E21</f>
        <v>45626</v>
      </c>
      <c r="I18" s="192">
        <v>45626</v>
      </c>
      <c r="J18" s="192">
        <v>45504</v>
      </c>
      <c r="K18" s="192">
        <v>45626</v>
      </c>
      <c r="L18" s="192">
        <v>45626</v>
      </c>
      <c r="M18" s="192">
        <v>45626</v>
      </c>
      <c r="N18" s="192">
        <v>45657</v>
      </c>
      <c r="O18" s="193">
        <v>45626</v>
      </c>
      <c r="P18" s="194">
        <v>45626</v>
      </c>
      <c r="Q18" s="192">
        <v>45657</v>
      </c>
      <c r="R18" s="192">
        <v>45626</v>
      </c>
      <c r="S18" s="192">
        <v>45657</v>
      </c>
      <c r="T18" s="192">
        <v>45626</v>
      </c>
      <c r="U18" s="192">
        <v>45626</v>
      </c>
      <c r="V18" s="192">
        <v>45688</v>
      </c>
      <c r="W18" s="192">
        <v>45596</v>
      </c>
    </row>
    <row r="19" spans="1:26" x14ac:dyDescent="0.5">
      <c r="B19" s="10" t="s">
        <v>138</v>
      </c>
      <c r="F19" s="186" t="s">
        <v>122</v>
      </c>
      <c r="H19" s="195">
        <f ca="1">G5</f>
        <v>16</v>
      </c>
      <c r="I19" s="196">
        <v>16</v>
      </c>
      <c r="J19" s="196">
        <v>12</v>
      </c>
      <c r="K19" s="196">
        <v>16</v>
      </c>
      <c r="L19" s="196">
        <v>16</v>
      </c>
      <c r="M19" s="196">
        <v>16</v>
      </c>
      <c r="N19" s="196">
        <v>17</v>
      </c>
      <c r="O19" s="197">
        <v>16</v>
      </c>
      <c r="P19" s="198">
        <v>16</v>
      </c>
      <c r="Q19" s="196">
        <v>17</v>
      </c>
      <c r="R19" s="196">
        <v>16</v>
      </c>
      <c r="S19" s="196">
        <v>17</v>
      </c>
      <c r="T19" s="196">
        <v>16</v>
      </c>
      <c r="U19" s="196">
        <v>16</v>
      </c>
      <c r="V19" s="196">
        <v>18</v>
      </c>
      <c r="W19" s="196">
        <v>15</v>
      </c>
    </row>
    <row r="20" spans="1:26" x14ac:dyDescent="0.5">
      <c r="B20" s="10" t="s">
        <v>223</v>
      </c>
      <c r="F20" s="186" t="s">
        <v>199</v>
      </c>
      <c r="H20" s="187">
        <f ca="1">J5</f>
        <v>2999.7355308861597</v>
      </c>
      <c r="I20" s="188">
        <v>2999.7355308861597</v>
      </c>
      <c r="J20" s="188">
        <v>3568.130195961523</v>
      </c>
      <c r="K20" s="188">
        <v>3459.7404375776891</v>
      </c>
      <c r="L20" s="188">
        <v>3647.4051967565779</v>
      </c>
      <c r="M20" s="188">
        <v>3101.0088471614117</v>
      </c>
      <c r="N20" s="188">
        <v>3762.9422085273723</v>
      </c>
      <c r="O20" s="189">
        <v>4262.160030988347</v>
      </c>
      <c r="P20" s="190">
        <v>3299.7090839747757</v>
      </c>
      <c r="Q20" s="188">
        <v>2699.7619777975451</v>
      </c>
      <c r="R20" s="188">
        <v>3647.4051967565779</v>
      </c>
      <c r="S20" s="188">
        <v>2770.244551327879</v>
      </c>
      <c r="T20" s="188">
        <v>3673.948698025893</v>
      </c>
      <c r="U20" s="188">
        <v>2423.4550801274577</v>
      </c>
      <c r="V20" s="188">
        <v>3299.7090839747771</v>
      </c>
      <c r="W20" s="188">
        <v>2699.7619777975438</v>
      </c>
      <c r="Y20" s="199"/>
      <c r="Z20" s="200"/>
    </row>
    <row r="21" spans="1:26" x14ac:dyDescent="0.5">
      <c r="F21" s="10"/>
      <c r="O21" s="184"/>
    </row>
    <row r="22" spans="1:26" x14ac:dyDescent="0.5">
      <c r="A22" s="82" t="s">
        <v>10</v>
      </c>
      <c r="B22" s="83" t="s">
        <v>180</v>
      </c>
      <c r="C22" s="83"/>
      <c r="D22" s="83"/>
      <c r="E22" s="83"/>
      <c r="F22" s="85"/>
      <c r="G22" s="85"/>
      <c r="H22" s="85"/>
      <c r="I22" s="85"/>
      <c r="J22" s="85"/>
      <c r="K22" s="85"/>
      <c r="L22" s="85"/>
      <c r="M22" s="85"/>
      <c r="N22" s="85"/>
      <c r="O22" s="185"/>
      <c r="P22" s="85"/>
      <c r="Q22" s="85"/>
      <c r="R22" s="85"/>
      <c r="S22" s="85"/>
      <c r="T22" s="85"/>
      <c r="U22" s="85"/>
      <c r="V22" s="85"/>
      <c r="W22" s="85"/>
    </row>
    <row r="23" spans="1:26" ht="3" customHeight="1" x14ac:dyDescent="0.5">
      <c r="F23" s="10"/>
      <c r="O23" s="184"/>
    </row>
    <row r="24" spans="1:26" x14ac:dyDescent="0.5">
      <c r="B24" s="10" t="s">
        <v>181</v>
      </c>
      <c r="F24" s="186" t="s">
        <v>199</v>
      </c>
      <c r="H24" s="201">
        <f t="shared" ref="H24:H26" ca="1" si="10">OFFSET(H24,,H$11)</f>
        <v>1500</v>
      </c>
      <c r="I24" s="202">
        <v>1500</v>
      </c>
      <c r="J24" s="203">
        <f>$I24</f>
        <v>1500</v>
      </c>
      <c r="K24" s="203">
        <f t="shared" ref="K24:W26" si="11">$I24</f>
        <v>1500</v>
      </c>
      <c r="L24" s="203">
        <f t="shared" si="11"/>
        <v>1500</v>
      </c>
      <c r="M24" s="203">
        <f t="shared" si="11"/>
        <v>1500</v>
      </c>
      <c r="N24" s="203">
        <f t="shared" si="11"/>
        <v>1500</v>
      </c>
      <c r="O24" s="204">
        <f t="shared" si="11"/>
        <v>1500</v>
      </c>
      <c r="P24" s="205">
        <f t="shared" si="11"/>
        <v>1500</v>
      </c>
      <c r="Q24" s="203">
        <f t="shared" si="11"/>
        <v>1500</v>
      </c>
      <c r="R24" s="203">
        <f t="shared" si="11"/>
        <v>1500</v>
      </c>
      <c r="S24" s="203">
        <f t="shared" si="11"/>
        <v>1500</v>
      </c>
      <c r="T24" s="203">
        <f t="shared" si="11"/>
        <v>1500</v>
      </c>
      <c r="U24" s="203">
        <f t="shared" si="11"/>
        <v>1500</v>
      </c>
      <c r="V24" s="203">
        <f t="shared" si="11"/>
        <v>1500</v>
      </c>
      <c r="W24" s="203">
        <f t="shared" si="11"/>
        <v>1500</v>
      </c>
    </row>
    <row r="25" spans="1:26" x14ac:dyDescent="0.5">
      <c r="B25" s="10" t="s">
        <v>183</v>
      </c>
      <c r="F25" s="186" t="s">
        <v>122</v>
      </c>
      <c r="H25" s="206">
        <f t="shared" ca="1" si="10"/>
        <v>6</v>
      </c>
      <c r="I25" s="207">
        <v>6</v>
      </c>
      <c r="J25" s="208">
        <f t="shared" ref="J25:J26" si="12">$I25</f>
        <v>6</v>
      </c>
      <c r="K25" s="208">
        <f t="shared" si="11"/>
        <v>6</v>
      </c>
      <c r="L25" s="208">
        <f t="shared" si="11"/>
        <v>6</v>
      </c>
      <c r="M25" s="208">
        <f t="shared" si="11"/>
        <v>6</v>
      </c>
      <c r="N25" s="208">
        <f t="shared" si="11"/>
        <v>6</v>
      </c>
      <c r="O25" s="209">
        <f t="shared" si="11"/>
        <v>6</v>
      </c>
      <c r="P25" s="210">
        <f t="shared" si="11"/>
        <v>6</v>
      </c>
      <c r="Q25" s="208">
        <f t="shared" si="11"/>
        <v>6</v>
      </c>
      <c r="R25" s="208">
        <f t="shared" si="11"/>
        <v>6</v>
      </c>
      <c r="S25" s="208">
        <f t="shared" si="11"/>
        <v>6</v>
      </c>
      <c r="T25" s="208">
        <f t="shared" si="11"/>
        <v>6</v>
      </c>
      <c r="U25" s="208">
        <f t="shared" si="11"/>
        <v>6</v>
      </c>
      <c r="V25" s="208">
        <f t="shared" si="11"/>
        <v>6</v>
      </c>
      <c r="W25" s="208">
        <f t="shared" si="11"/>
        <v>6</v>
      </c>
    </row>
    <row r="26" spans="1:26" x14ac:dyDescent="0.5">
      <c r="B26" s="10" t="s">
        <v>182</v>
      </c>
      <c r="F26" s="186" t="s">
        <v>122</v>
      </c>
      <c r="H26" s="206">
        <f t="shared" ca="1" si="10"/>
        <v>0</v>
      </c>
      <c r="I26" s="207">
        <v>0</v>
      </c>
      <c r="J26" s="208">
        <f t="shared" si="12"/>
        <v>0</v>
      </c>
      <c r="K26" s="208">
        <f t="shared" si="11"/>
        <v>0</v>
      </c>
      <c r="L26" s="208">
        <f t="shared" si="11"/>
        <v>0</v>
      </c>
      <c r="M26" s="208">
        <f t="shared" si="11"/>
        <v>0</v>
      </c>
      <c r="N26" s="208">
        <f t="shared" si="11"/>
        <v>0</v>
      </c>
      <c r="O26" s="209">
        <f t="shared" si="11"/>
        <v>0</v>
      </c>
      <c r="P26" s="210">
        <f t="shared" si="11"/>
        <v>0</v>
      </c>
      <c r="Q26" s="208">
        <f t="shared" si="11"/>
        <v>0</v>
      </c>
      <c r="R26" s="208">
        <f t="shared" si="11"/>
        <v>0</v>
      </c>
      <c r="S26" s="208">
        <f t="shared" si="11"/>
        <v>0</v>
      </c>
      <c r="T26" s="208">
        <f t="shared" si="11"/>
        <v>0</v>
      </c>
      <c r="U26" s="208">
        <f t="shared" si="11"/>
        <v>0</v>
      </c>
      <c r="V26" s="208">
        <f t="shared" si="11"/>
        <v>0</v>
      </c>
      <c r="W26" s="208">
        <f t="shared" si="11"/>
        <v>0</v>
      </c>
    </row>
    <row r="27" spans="1:26" x14ac:dyDescent="0.5">
      <c r="O27" s="184"/>
    </row>
    <row r="28" spans="1:26" x14ac:dyDescent="0.5">
      <c r="A28" s="82" t="s">
        <v>10</v>
      </c>
      <c r="B28" s="83" t="s">
        <v>163</v>
      </c>
      <c r="C28" s="83"/>
      <c r="D28" s="83"/>
      <c r="E28" s="83"/>
      <c r="F28" s="211"/>
      <c r="G28" s="85"/>
      <c r="H28" s="85"/>
      <c r="I28" s="85"/>
      <c r="J28" s="85"/>
      <c r="K28" s="85"/>
      <c r="L28" s="85"/>
      <c r="M28" s="85"/>
      <c r="N28" s="85"/>
      <c r="O28" s="185"/>
      <c r="P28" s="85"/>
      <c r="Q28" s="85"/>
      <c r="R28" s="85"/>
      <c r="S28" s="85"/>
      <c r="T28" s="85"/>
      <c r="U28" s="85"/>
      <c r="V28" s="85"/>
      <c r="W28" s="85"/>
    </row>
    <row r="29" spans="1:26" ht="3" customHeight="1" x14ac:dyDescent="0.5">
      <c r="O29" s="184"/>
    </row>
    <row r="30" spans="1:26" x14ac:dyDescent="0.5">
      <c r="B30" s="212" t="s">
        <v>191</v>
      </c>
      <c r="C30" s="213"/>
      <c r="D30" s="213"/>
      <c r="E30" s="213"/>
      <c r="F30" s="214"/>
      <c r="G30" s="213"/>
      <c r="H30" s="215"/>
      <c r="I30" s="215"/>
      <c r="J30" s="215"/>
      <c r="K30" s="215"/>
      <c r="L30" s="215"/>
      <c r="M30" s="215"/>
      <c r="N30" s="215"/>
      <c r="O30" s="216"/>
      <c r="P30" s="215"/>
      <c r="Q30" s="215"/>
      <c r="R30" s="215"/>
      <c r="S30" s="215"/>
      <c r="T30" s="215"/>
      <c r="U30" s="215"/>
      <c r="V30" s="215"/>
      <c r="W30" s="215"/>
    </row>
    <row r="31" spans="1:26" x14ac:dyDescent="0.5">
      <c r="B31" s="10" t="s">
        <v>247</v>
      </c>
      <c r="F31" s="186" t="s">
        <v>29</v>
      </c>
      <c r="H31" s="201">
        <f ca="1">OFFSET(H31,,H$11)</f>
        <v>9830</v>
      </c>
      <c r="I31" s="202">
        <v>9830</v>
      </c>
      <c r="J31" s="203">
        <f t="shared" ref="J31:W31" si="13">$I31</f>
        <v>9830</v>
      </c>
      <c r="K31" s="203">
        <f t="shared" si="13"/>
        <v>9830</v>
      </c>
      <c r="L31" s="203">
        <f t="shared" si="13"/>
        <v>9830</v>
      </c>
      <c r="M31" s="203">
        <f t="shared" si="13"/>
        <v>9830</v>
      </c>
      <c r="N31" s="203">
        <f t="shared" si="13"/>
        <v>9830</v>
      </c>
      <c r="O31" s="204">
        <f t="shared" si="13"/>
        <v>9830</v>
      </c>
      <c r="P31" s="217">
        <f>$I31*(1+0.1)</f>
        <v>10813</v>
      </c>
      <c r="Q31" s="218">
        <f>$I31*(1-0.1)</f>
        <v>8847</v>
      </c>
      <c r="R31" s="203">
        <f t="shared" si="13"/>
        <v>9830</v>
      </c>
      <c r="S31" s="203">
        <f t="shared" si="13"/>
        <v>9830</v>
      </c>
      <c r="T31" s="203">
        <f t="shared" si="13"/>
        <v>9830</v>
      </c>
      <c r="U31" s="203">
        <f t="shared" si="13"/>
        <v>9830</v>
      </c>
      <c r="V31" s="203">
        <f t="shared" si="13"/>
        <v>9830</v>
      </c>
      <c r="W31" s="203">
        <f t="shared" si="13"/>
        <v>9830</v>
      </c>
      <c r="X31" s="219" t="s">
        <v>196</v>
      </c>
    </row>
    <row r="32" spans="1:26" x14ac:dyDescent="0.5">
      <c r="O32" s="184"/>
    </row>
    <row r="33" spans="2:23" x14ac:dyDescent="0.5">
      <c r="B33" s="220" t="s">
        <v>192</v>
      </c>
      <c r="O33" s="184"/>
    </row>
    <row r="34" spans="2:23" x14ac:dyDescent="0.5">
      <c r="B34" s="10" t="s">
        <v>193</v>
      </c>
      <c r="F34" s="186" t="s">
        <v>30</v>
      </c>
      <c r="H34" s="221">
        <f t="shared" ref="H34:H36" ca="1" si="14">OFFSET(H34,,H$11)</f>
        <v>0.5</v>
      </c>
      <c r="I34" s="222">
        <v>0.5</v>
      </c>
      <c r="J34" s="223">
        <f t="shared" ref="J34:W36" si="15">$I34</f>
        <v>0.5</v>
      </c>
      <c r="K34" s="223">
        <f t="shared" si="15"/>
        <v>0.5</v>
      </c>
      <c r="L34" s="223">
        <f t="shared" si="15"/>
        <v>0.5</v>
      </c>
      <c r="M34" s="223">
        <f t="shared" si="15"/>
        <v>0.5</v>
      </c>
      <c r="N34" s="223">
        <f t="shared" si="15"/>
        <v>0.5</v>
      </c>
      <c r="O34" s="224">
        <f t="shared" si="15"/>
        <v>0.5</v>
      </c>
      <c r="P34" s="225">
        <f t="shared" si="15"/>
        <v>0.5</v>
      </c>
      <c r="Q34" s="223">
        <f t="shared" si="15"/>
        <v>0.5</v>
      </c>
      <c r="R34" s="223">
        <f t="shared" si="15"/>
        <v>0.5</v>
      </c>
      <c r="S34" s="223">
        <f t="shared" si="15"/>
        <v>0.5</v>
      </c>
      <c r="T34" s="223">
        <f t="shared" si="15"/>
        <v>0.5</v>
      </c>
      <c r="U34" s="223">
        <f t="shared" si="15"/>
        <v>0.5</v>
      </c>
      <c r="V34" s="223">
        <f t="shared" si="15"/>
        <v>0.5</v>
      </c>
      <c r="W34" s="223">
        <f t="shared" si="15"/>
        <v>0.5</v>
      </c>
    </row>
    <row r="35" spans="2:23" x14ac:dyDescent="0.5">
      <c r="B35" s="10" t="s">
        <v>194</v>
      </c>
      <c r="F35" s="186" t="s">
        <v>30</v>
      </c>
      <c r="H35" s="221">
        <f t="shared" ca="1" si="14"/>
        <v>0.3</v>
      </c>
      <c r="I35" s="222">
        <v>0.3</v>
      </c>
      <c r="J35" s="223">
        <f t="shared" si="15"/>
        <v>0.3</v>
      </c>
      <c r="K35" s="223">
        <f t="shared" si="15"/>
        <v>0.3</v>
      </c>
      <c r="L35" s="223">
        <f t="shared" si="15"/>
        <v>0.3</v>
      </c>
      <c r="M35" s="223">
        <f t="shared" si="15"/>
        <v>0.3</v>
      </c>
      <c r="N35" s="223">
        <f t="shared" si="15"/>
        <v>0.3</v>
      </c>
      <c r="O35" s="224">
        <f t="shared" si="15"/>
        <v>0.3</v>
      </c>
      <c r="P35" s="225">
        <f t="shared" si="15"/>
        <v>0.3</v>
      </c>
      <c r="Q35" s="223">
        <f t="shared" si="15"/>
        <v>0.3</v>
      </c>
      <c r="R35" s="223">
        <f t="shared" si="15"/>
        <v>0.3</v>
      </c>
      <c r="S35" s="223">
        <f t="shared" si="15"/>
        <v>0.3</v>
      </c>
      <c r="T35" s="223">
        <f t="shared" si="15"/>
        <v>0.3</v>
      </c>
      <c r="U35" s="223">
        <f t="shared" si="15"/>
        <v>0.3</v>
      </c>
      <c r="V35" s="223">
        <f t="shared" si="15"/>
        <v>0.3</v>
      </c>
      <c r="W35" s="223">
        <f t="shared" si="15"/>
        <v>0.3</v>
      </c>
    </row>
    <row r="36" spans="2:23" x14ac:dyDescent="0.5">
      <c r="B36" s="10" t="s">
        <v>195</v>
      </c>
      <c r="F36" s="186" t="s">
        <v>30</v>
      </c>
      <c r="H36" s="221">
        <f t="shared" ca="1" si="14"/>
        <v>0.2</v>
      </c>
      <c r="I36" s="222">
        <v>0.2</v>
      </c>
      <c r="J36" s="223">
        <f t="shared" si="15"/>
        <v>0.2</v>
      </c>
      <c r="K36" s="223">
        <f t="shared" si="15"/>
        <v>0.2</v>
      </c>
      <c r="L36" s="223">
        <f t="shared" si="15"/>
        <v>0.2</v>
      </c>
      <c r="M36" s="223">
        <f t="shared" si="15"/>
        <v>0.2</v>
      </c>
      <c r="N36" s="223">
        <f t="shared" si="15"/>
        <v>0.2</v>
      </c>
      <c r="O36" s="224">
        <f t="shared" si="15"/>
        <v>0.2</v>
      </c>
      <c r="P36" s="225">
        <f t="shared" si="15"/>
        <v>0.2</v>
      </c>
      <c r="Q36" s="223">
        <f t="shared" si="15"/>
        <v>0.2</v>
      </c>
      <c r="R36" s="223">
        <f t="shared" si="15"/>
        <v>0.2</v>
      </c>
      <c r="S36" s="223">
        <f t="shared" si="15"/>
        <v>0.2</v>
      </c>
      <c r="T36" s="223">
        <f t="shared" si="15"/>
        <v>0.2</v>
      </c>
      <c r="U36" s="223">
        <f t="shared" si="15"/>
        <v>0.2</v>
      </c>
      <c r="V36" s="223">
        <f t="shared" si="15"/>
        <v>0.2</v>
      </c>
      <c r="W36" s="223">
        <f t="shared" si="15"/>
        <v>0.2</v>
      </c>
    </row>
    <row r="37" spans="2:23" x14ac:dyDescent="0.5">
      <c r="O37" s="184"/>
    </row>
    <row r="38" spans="2:23" x14ac:dyDescent="0.5">
      <c r="B38" s="212" t="s">
        <v>159</v>
      </c>
      <c r="C38" s="213"/>
      <c r="D38" s="213"/>
      <c r="E38" s="213"/>
      <c r="F38" s="214"/>
      <c r="G38" s="213"/>
      <c r="H38" s="215"/>
      <c r="I38" s="215"/>
      <c r="J38" s="215"/>
      <c r="K38" s="215"/>
      <c r="L38" s="215"/>
      <c r="M38" s="215"/>
      <c r="N38" s="215"/>
      <c r="O38" s="216"/>
      <c r="P38" s="215"/>
      <c r="Q38" s="215"/>
      <c r="R38" s="215"/>
      <c r="S38" s="215"/>
      <c r="T38" s="215"/>
      <c r="U38" s="215"/>
      <c r="V38" s="215"/>
      <c r="W38" s="215"/>
    </row>
    <row r="39" spans="2:23" x14ac:dyDescent="0.5">
      <c r="B39" s="10" t="s">
        <v>90</v>
      </c>
      <c r="F39" s="186" t="s">
        <v>30</v>
      </c>
      <c r="H39" s="221">
        <f ca="1">OFFSET(H39,,H$11)</f>
        <v>0.1</v>
      </c>
      <c r="I39" s="222">
        <v>0.1</v>
      </c>
      <c r="J39" s="222">
        <f>I39*(1+0.2)</f>
        <v>0.12</v>
      </c>
      <c r="K39" s="223">
        <f t="shared" ref="K39:W40" si="16">$I39</f>
        <v>0.1</v>
      </c>
      <c r="L39" s="223">
        <f t="shared" si="16"/>
        <v>0.1</v>
      </c>
      <c r="M39" s="223">
        <f t="shared" si="16"/>
        <v>0.1</v>
      </c>
      <c r="N39" s="223">
        <f t="shared" si="16"/>
        <v>0.1</v>
      </c>
      <c r="O39" s="224">
        <f t="shared" si="16"/>
        <v>0.1</v>
      </c>
      <c r="P39" s="225">
        <f t="shared" si="16"/>
        <v>0.1</v>
      </c>
      <c r="Q39" s="223">
        <f t="shared" si="16"/>
        <v>0.1</v>
      </c>
      <c r="R39" s="223">
        <f t="shared" si="16"/>
        <v>0.1</v>
      </c>
      <c r="S39" s="223">
        <f t="shared" si="16"/>
        <v>0.1</v>
      </c>
      <c r="T39" s="226">
        <f>$I39*(1+0.1)</f>
        <v>0.11000000000000001</v>
      </c>
      <c r="U39" s="226">
        <f>$I39*(1-0.1)</f>
        <v>9.0000000000000011E-2</v>
      </c>
      <c r="V39" s="223">
        <f t="shared" si="16"/>
        <v>0.1</v>
      </c>
      <c r="W39" s="223">
        <f t="shared" si="16"/>
        <v>0.1</v>
      </c>
    </row>
    <row r="40" spans="2:23" x14ac:dyDescent="0.5">
      <c r="B40" s="10" t="s">
        <v>91</v>
      </c>
      <c r="F40" s="186" t="s">
        <v>30</v>
      </c>
      <c r="H40" s="221">
        <f ca="1">OFFSET(H40,,H$11)</f>
        <v>7.0000000000000007E-2</v>
      </c>
      <c r="I40" s="222">
        <v>7.0000000000000007E-2</v>
      </c>
      <c r="J40" s="222">
        <f>I40*(1+0.2)</f>
        <v>8.4000000000000005E-2</v>
      </c>
      <c r="K40" s="223">
        <f t="shared" ref="K40:M40" si="17">$I40</f>
        <v>7.0000000000000007E-2</v>
      </c>
      <c r="L40" s="223">
        <f t="shared" si="17"/>
        <v>7.0000000000000007E-2</v>
      </c>
      <c r="M40" s="223">
        <f t="shared" si="17"/>
        <v>7.0000000000000007E-2</v>
      </c>
      <c r="N40" s="222">
        <f>I40*(1+0.1)</f>
        <v>7.7000000000000013E-2</v>
      </c>
      <c r="O40" s="227">
        <f>N40</f>
        <v>7.7000000000000013E-2</v>
      </c>
      <c r="P40" s="225">
        <f t="shared" si="16"/>
        <v>7.0000000000000007E-2</v>
      </c>
      <c r="Q40" s="223">
        <f t="shared" si="16"/>
        <v>7.0000000000000007E-2</v>
      </c>
      <c r="R40" s="223">
        <f t="shared" si="16"/>
        <v>7.0000000000000007E-2</v>
      </c>
      <c r="S40" s="223">
        <f t="shared" si="16"/>
        <v>7.0000000000000007E-2</v>
      </c>
      <c r="T40" s="226">
        <f>$I40*(1+0.1)</f>
        <v>7.7000000000000013E-2</v>
      </c>
      <c r="U40" s="226">
        <f>$I40*(1-0.1)</f>
        <v>6.3000000000000014E-2</v>
      </c>
      <c r="V40" s="223">
        <f t="shared" si="16"/>
        <v>7.0000000000000007E-2</v>
      </c>
      <c r="W40" s="223">
        <f t="shared" si="16"/>
        <v>7.0000000000000007E-2</v>
      </c>
    </row>
    <row r="41" spans="2:23" x14ac:dyDescent="0.5">
      <c r="I41" s="228"/>
      <c r="J41" s="229"/>
      <c r="K41" s="229"/>
      <c r="L41" s="229"/>
      <c r="M41" s="229"/>
      <c r="N41" s="229"/>
      <c r="O41" s="230"/>
      <c r="P41" s="229"/>
      <c r="Q41" s="229"/>
      <c r="R41" s="229"/>
      <c r="S41" s="229"/>
      <c r="T41" s="229"/>
      <c r="U41" s="229"/>
      <c r="V41" s="229"/>
      <c r="W41" s="229"/>
    </row>
    <row r="42" spans="2:23" x14ac:dyDescent="0.5">
      <c r="B42" s="212" t="s">
        <v>158</v>
      </c>
      <c r="C42" s="213"/>
      <c r="D42" s="213"/>
      <c r="E42" s="213"/>
      <c r="F42" s="214"/>
      <c r="G42" s="213"/>
      <c r="H42" s="215"/>
      <c r="I42" s="231"/>
      <c r="J42" s="232"/>
      <c r="K42" s="232"/>
      <c r="L42" s="232"/>
      <c r="M42" s="232"/>
      <c r="N42" s="232"/>
      <c r="O42" s="233"/>
      <c r="P42" s="232"/>
      <c r="Q42" s="232"/>
      <c r="R42" s="232"/>
      <c r="S42" s="232"/>
      <c r="T42" s="232"/>
      <c r="U42" s="232"/>
      <c r="V42" s="232"/>
      <c r="W42" s="232"/>
    </row>
    <row r="43" spans="2:23" x14ac:dyDescent="0.5">
      <c r="B43" s="10" t="str">
        <f>$B$39</f>
        <v>Monthly Plan</v>
      </c>
      <c r="F43" s="186" t="s">
        <v>30</v>
      </c>
      <c r="H43" s="221">
        <f ca="1">OFFSET(H43,,H$11)</f>
        <v>0.25</v>
      </c>
      <c r="I43" s="222">
        <v>0.25</v>
      </c>
      <c r="J43" s="223">
        <f t="shared" ref="J43:M44" si="18">$I43</f>
        <v>0.25</v>
      </c>
      <c r="K43" s="222">
        <v>0.15</v>
      </c>
      <c r="L43" s="222">
        <v>0.15</v>
      </c>
      <c r="M43" s="223">
        <f t="shared" si="18"/>
        <v>0.25</v>
      </c>
      <c r="N43" s="222">
        <f>I43*(1+0.1)</f>
        <v>0.27500000000000002</v>
      </c>
      <c r="O43" s="227">
        <f>N43-10%</f>
        <v>0.17500000000000002</v>
      </c>
      <c r="P43" s="225">
        <f t="shared" ref="P43:W44" si="19">$I43</f>
        <v>0.25</v>
      </c>
      <c r="Q43" s="223">
        <f t="shared" si="19"/>
        <v>0.25</v>
      </c>
      <c r="R43" s="226">
        <f>$I43-10%</f>
        <v>0.15</v>
      </c>
      <c r="S43" s="226">
        <f>$I43+10%</f>
        <v>0.35</v>
      </c>
      <c r="T43" s="223">
        <f t="shared" si="19"/>
        <v>0.25</v>
      </c>
      <c r="U43" s="223">
        <f t="shared" si="19"/>
        <v>0.25</v>
      </c>
      <c r="V43" s="223">
        <f t="shared" si="19"/>
        <v>0.25</v>
      </c>
      <c r="W43" s="223">
        <f t="shared" si="19"/>
        <v>0.25</v>
      </c>
    </row>
    <row r="44" spans="2:23" x14ac:dyDescent="0.5">
      <c r="B44" s="10" t="str">
        <f>$B$40</f>
        <v>Annual Plan</v>
      </c>
      <c r="F44" s="186" t="s">
        <v>30</v>
      </c>
      <c r="H44" s="221">
        <f ca="1">OFFSET(H44,,H$11)</f>
        <v>0.35</v>
      </c>
      <c r="I44" s="222">
        <v>0.35</v>
      </c>
      <c r="J44" s="223">
        <f t="shared" si="18"/>
        <v>0.35</v>
      </c>
      <c r="K44" s="222">
        <v>0.35</v>
      </c>
      <c r="L44" s="222">
        <v>0.25</v>
      </c>
      <c r="M44" s="223">
        <f t="shared" si="18"/>
        <v>0.35</v>
      </c>
      <c r="N44" s="222">
        <v>0.35</v>
      </c>
      <c r="O44" s="227">
        <f>N44-10%</f>
        <v>0.24999999999999997</v>
      </c>
      <c r="P44" s="225">
        <f t="shared" si="19"/>
        <v>0.35</v>
      </c>
      <c r="Q44" s="223">
        <f t="shared" si="19"/>
        <v>0.35</v>
      </c>
      <c r="R44" s="226">
        <f>$I44-10%</f>
        <v>0.24999999999999997</v>
      </c>
      <c r="S44" s="226">
        <f>$I44+10%</f>
        <v>0.44999999999999996</v>
      </c>
      <c r="T44" s="223">
        <f t="shared" si="19"/>
        <v>0.35</v>
      </c>
      <c r="U44" s="223">
        <f t="shared" si="19"/>
        <v>0.35</v>
      </c>
      <c r="V44" s="223">
        <f t="shared" si="19"/>
        <v>0.35</v>
      </c>
      <c r="W44" s="223">
        <f t="shared" si="19"/>
        <v>0.35</v>
      </c>
    </row>
    <row r="45" spans="2:23" x14ac:dyDescent="0.5">
      <c r="I45" s="228"/>
      <c r="J45" s="229"/>
      <c r="K45" s="229"/>
      <c r="L45" s="229"/>
      <c r="M45" s="229"/>
      <c r="N45" s="229"/>
      <c r="O45" s="230"/>
      <c r="P45" s="229"/>
      <c r="Q45" s="229"/>
      <c r="R45" s="229"/>
      <c r="S45" s="229"/>
      <c r="T45" s="229"/>
      <c r="U45" s="229"/>
      <c r="V45" s="229"/>
      <c r="W45" s="229"/>
    </row>
    <row r="46" spans="2:23" x14ac:dyDescent="0.5">
      <c r="B46" s="212" t="s">
        <v>161</v>
      </c>
      <c r="C46" s="213"/>
      <c r="D46" s="213"/>
      <c r="E46" s="213"/>
      <c r="F46" s="214"/>
      <c r="G46" s="213"/>
      <c r="H46" s="215"/>
      <c r="I46" s="231"/>
      <c r="J46" s="232"/>
      <c r="K46" s="232"/>
      <c r="L46" s="232"/>
      <c r="M46" s="232"/>
      <c r="N46" s="232"/>
      <c r="O46" s="233"/>
      <c r="P46" s="232"/>
      <c r="Q46" s="232"/>
      <c r="R46" s="232"/>
      <c r="S46" s="232"/>
      <c r="T46" s="232"/>
      <c r="U46" s="232"/>
      <c r="V46" s="232"/>
      <c r="W46" s="232"/>
    </row>
    <row r="47" spans="2:23" x14ac:dyDescent="0.5">
      <c r="B47" s="10" t="str">
        <f>$B$39</f>
        <v>Monthly Plan</v>
      </c>
      <c r="F47" s="186" t="s">
        <v>198</v>
      </c>
      <c r="H47" s="201">
        <f ca="1">OFFSET(H47,,H$11)</f>
        <v>30</v>
      </c>
      <c r="I47" s="202">
        <v>30</v>
      </c>
      <c r="J47" s="202">
        <f>I47*(1-0.2)</f>
        <v>24</v>
      </c>
      <c r="K47" s="203">
        <f t="shared" ref="K47:M47" si="20">$I47</f>
        <v>30</v>
      </c>
      <c r="L47" s="203">
        <f t="shared" si="20"/>
        <v>30</v>
      </c>
      <c r="M47" s="203">
        <f t="shared" si="20"/>
        <v>30</v>
      </c>
      <c r="N47" s="203">
        <f t="shared" ref="N47:U48" si="21">$I47</f>
        <v>30</v>
      </c>
      <c r="O47" s="204">
        <f t="shared" si="21"/>
        <v>30</v>
      </c>
      <c r="P47" s="205">
        <f t="shared" si="21"/>
        <v>30</v>
      </c>
      <c r="Q47" s="203">
        <f t="shared" si="21"/>
        <v>30</v>
      </c>
      <c r="R47" s="203">
        <f t="shared" si="21"/>
        <v>30</v>
      </c>
      <c r="S47" s="203">
        <f t="shared" si="21"/>
        <v>30</v>
      </c>
      <c r="T47" s="203">
        <f t="shared" si="21"/>
        <v>30</v>
      </c>
      <c r="U47" s="203">
        <f t="shared" si="21"/>
        <v>30</v>
      </c>
      <c r="V47" s="218">
        <f>$I47*(1+0.1)</f>
        <v>33</v>
      </c>
      <c r="W47" s="218">
        <f>$I47*(1-0.1)</f>
        <v>27</v>
      </c>
    </row>
    <row r="48" spans="2:23" x14ac:dyDescent="0.5">
      <c r="B48" s="10" t="str">
        <f>$B$40</f>
        <v>Annual Plan</v>
      </c>
      <c r="F48" s="186" t="s">
        <v>198</v>
      </c>
      <c r="H48" s="201">
        <f ca="1">OFFSET(H48,,H$11)</f>
        <v>330</v>
      </c>
      <c r="I48" s="202">
        <v>330</v>
      </c>
      <c r="J48" s="202">
        <f>I48*(1-0.2)</f>
        <v>264</v>
      </c>
      <c r="K48" s="203">
        <f t="shared" ref="K48:M48" si="22">$I48</f>
        <v>330</v>
      </c>
      <c r="L48" s="203">
        <f t="shared" si="22"/>
        <v>330</v>
      </c>
      <c r="M48" s="203">
        <f t="shared" si="22"/>
        <v>330</v>
      </c>
      <c r="N48" s="203">
        <f t="shared" si="21"/>
        <v>330</v>
      </c>
      <c r="O48" s="204">
        <f t="shared" si="21"/>
        <v>330</v>
      </c>
      <c r="P48" s="205">
        <f t="shared" si="21"/>
        <v>330</v>
      </c>
      <c r="Q48" s="203">
        <f t="shared" si="21"/>
        <v>330</v>
      </c>
      <c r="R48" s="203">
        <f t="shared" si="21"/>
        <v>330</v>
      </c>
      <c r="S48" s="203">
        <f t="shared" si="21"/>
        <v>330</v>
      </c>
      <c r="T48" s="203">
        <f t="shared" si="21"/>
        <v>330</v>
      </c>
      <c r="U48" s="203">
        <f t="shared" si="21"/>
        <v>330</v>
      </c>
      <c r="V48" s="218">
        <f>$I48*(1+0.1)</f>
        <v>363.00000000000006</v>
      </c>
      <c r="W48" s="218">
        <f>$I48*(1-0.1)</f>
        <v>297</v>
      </c>
    </row>
    <row r="49" spans="1:23" x14ac:dyDescent="0.5">
      <c r="I49" s="228"/>
      <c r="J49" s="229"/>
      <c r="K49" s="229"/>
      <c r="L49" s="229"/>
      <c r="M49" s="229"/>
      <c r="N49" s="229"/>
      <c r="O49" s="230"/>
      <c r="P49" s="229"/>
      <c r="Q49" s="229"/>
      <c r="R49" s="229"/>
      <c r="S49" s="229"/>
      <c r="T49" s="229"/>
      <c r="U49" s="229"/>
      <c r="V49" s="229"/>
      <c r="W49" s="229"/>
    </row>
    <row r="50" spans="1:23" x14ac:dyDescent="0.5">
      <c r="B50" s="220" t="s">
        <v>162</v>
      </c>
      <c r="I50" s="228"/>
      <c r="J50" s="229"/>
      <c r="K50" s="229"/>
      <c r="L50" s="229"/>
      <c r="M50" s="229"/>
      <c r="N50" s="229"/>
      <c r="O50" s="230"/>
      <c r="P50" s="229"/>
      <c r="Q50" s="229"/>
      <c r="R50" s="229"/>
      <c r="S50" s="229"/>
      <c r="T50" s="229"/>
      <c r="U50" s="229"/>
      <c r="V50" s="229"/>
      <c r="W50" s="229"/>
    </row>
    <row r="51" spans="1:23" x14ac:dyDescent="0.5">
      <c r="B51" s="10" t="str">
        <f>$B$39</f>
        <v>Monthly Plan</v>
      </c>
      <c r="F51" s="186" t="s">
        <v>30</v>
      </c>
      <c r="H51" s="221">
        <f ca="1">OFFSET(H51,,H$11)</f>
        <v>0</v>
      </c>
      <c r="I51" s="234">
        <v>0</v>
      </c>
      <c r="J51" s="235">
        <f>$I51</f>
        <v>0</v>
      </c>
      <c r="K51" s="235">
        <f t="shared" ref="K51:L51" si="23">$I51</f>
        <v>0</v>
      </c>
      <c r="L51" s="235">
        <f t="shared" si="23"/>
        <v>0</v>
      </c>
      <c r="M51" s="234">
        <v>0.03</v>
      </c>
      <c r="N51" s="234">
        <v>0.03</v>
      </c>
      <c r="O51" s="227">
        <f t="shared" ref="O51:O52" si="24">N51</f>
        <v>0.03</v>
      </c>
      <c r="P51" s="225">
        <f t="shared" ref="P51:W52" si="25">$I51</f>
        <v>0</v>
      </c>
      <c r="Q51" s="223">
        <f t="shared" si="25"/>
        <v>0</v>
      </c>
      <c r="R51" s="223">
        <f t="shared" si="25"/>
        <v>0</v>
      </c>
      <c r="S51" s="223">
        <f t="shared" si="25"/>
        <v>0</v>
      </c>
      <c r="T51" s="223">
        <f t="shared" si="25"/>
        <v>0</v>
      </c>
      <c r="U51" s="223">
        <f t="shared" si="25"/>
        <v>0</v>
      </c>
      <c r="V51" s="223">
        <f t="shared" si="25"/>
        <v>0</v>
      </c>
      <c r="W51" s="223">
        <f t="shared" si="25"/>
        <v>0</v>
      </c>
    </row>
    <row r="52" spans="1:23" x14ac:dyDescent="0.5">
      <c r="B52" s="10" t="str">
        <f>$B$40</f>
        <v>Annual Plan</v>
      </c>
      <c r="F52" s="186" t="s">
        <v>30</v>
      </c>
      <c r="H52" s="221">
        <f ca="1">OFFSET(H52,,H$11)</f>
        <v>0</v>
      </c>
      <c r="I52" s="234">
        <v>0</v>
      </c>
      <c r="J52" s="235">
        <f t="shared" ref="J52:L52" si="26">$I52</f>
        <v>0</v>
      </c>
      <c r="K52" s="235">
        <f t="shared" si="26"/>
        <v>0</v>
      </c>
      <c r="L52" s="235">
        <f t="shared" si="26"/>
        <v>0</v>
      </c>
      <c r="M52" s="234">
        <v>0.03</v>
      </c>
      <c r="N52" s="234">
        <v>0.03</v>
      </c>
      <c r="O52" s="227">
        <f t="shared" si="24"/>
        <v>0.03</v>
      </c>
      <c r="P52" s="225">
        <f t="shared" si="25"/>
        <v>0</v>
      </c>
      <c r="Q52" s="223">
        <f t="shared" si="25"/>
        <v>0</v>
      </c>
      <c r="R52" s="223">
        <f t="shared" si="25"/>
        <v>0</v>
      </c>
      <c r="S52" s="223">
        <f t="shared" si="25"/>
        <v>0</v>
      </c>
      <c r="T52" s="223">
        <f t="shared" si="25"/>
        <v>0</v>
      </c>
      <c r="U52" s="223">
        <f t="shared" si="25"/>
        <v>0</v>
      </c>
      <c r="V52" s="223">
        <f t="shared" si="25"/>
        <v>0</v>
      </c>
      <c r="W52" s="223">
        <f t="shared" si="25"/>
        <v>0</v>
      </c>
    </row>
    <row r="53" spans="1:23" x14ac:dyDescent="0.5">
      <c r="I53" s="228"/>
      <c r="J53" s="229"/>
      <c r="K53" s="229"/>
      <c r="L53" s="229"/>
      <c r="M53" s="229"/>
      <c r="N53" s="229"/>
      <c r="O53" s="230"/>
      <c r="P53" s="229"/>
      <c r="Q53" s="229"/>
      <c r="R53" s="229"/>
      <c r="S53" s="229"/>
      <c r="T53" s="229"/>
      <c r="U53" s="229"/>
      <c r="V53" s="229"/>
      <c r="W53" s="229"/>
    </row>
    <row r="54" spans="1:23" x14ac:dyDescent="0.5">
      <c r="A54" s="82" t="s">
        <v>10</v>
      </c>
      <c r="B54" s="83" t="s">
        <v>164</v>
      </c>
      <c r="C54" s="83"/>
      <c r="D54" s="83"/>
      <c r="E54" s="83"/>
      <c r="F54" s="211"/>
      <c r="G54" s="85"/>
      <c r="H54" s="85"/>
      <c r="I54" s="236"/>
      <c r="J54" s="237"/>
      <c r="K54" s="237"/>
      <c r="L54" s="237"/>
      <c r="M54" s="237"/>
      <c r="N54" s="237"/>
      <c r="O54" s="238"/>
      <c r="P54" s="237"/>
      <c r="Q54" s="237"/>
      <c r="R54" s="237"/>
      <c r="S54" s="237"/>
      <c r="T54" s="237"/>
      <c r="U54" s="237"/>
      <c r="V54" s="237"/>
      <c r="W54" s="237"/>
    </row>
    <row r="55" spans="1:23" ht="3" customHeight="1" x14ac:dyDescent="0.5">
      <c r="I55" s="228"/>
      <c r="J55" s="229"/>
      <c r="K55" s="229"/>
      <c r="L55" s="229"/>
      <c r="M55" s="229"/>
      <c r="N55" s="229"/>
      <c r="O55" s="230"/>
      <c r="P55" s="229"/>
      <c r="Q55" s="229"/>
      <c r="R55" s="229"/>
      <c r="S55" s="229"/>
      <c r="T55" s="229"/>
      <c r="U55" s="229"/>
      <c r="V55" s="229"/>
      <c r="W55" s="229"/>
    </row>
    <row r="56" spans="1:23" x14ac:dyDescent="0.5">
      <c r="B56" s="10" t="s">
        <v>165</v>
      </c>
      <c r="F56" s="186" t="s">
        <v>29</v>
      </c>
      <c r="H56" s="201">
        <f t="shared" ref="H56:H58" ca="1" si="27">OFFSET(H56,,H$11)</f>
        <v>750</v>
      </c>
      <c r="I56" s="202">
        <v>750</v>
      </c>
      <c r="J56" s="203">
        <f>$I56</f>
        <v>750</v>
      </c>
      <c r="K56" s="203">
        <f t="shared" ref="K56:W58" si="28">$I56</f>
        <v>750</v>
      </c>
      <c r="L56" s="203">
        <f t="shared" si="28"/>
        <v>750</v>
      </c>
      <c r="M56" s="203">
        <f t="shared" si="28"/>
        <v>750</v>
      </c>
      <c r="N56" s="203">
        <f t="shared" si="28"/>
        <v>750</v>
      </c>
      <c r="O56" s="204">
        <f t="shared" si="28"/>
        <v>750</v>
      </c>
      <c r="P56" s="205">
        <f t="shared" si="28"/>
        <v>750</v>
      </c>
      <c r="Q56" s="203">
        <f t="shared" si="28"/>
        <v>750</v>
      </c>
      <c r="R56" s="203">
        <f t="shared" si="28"/>
        <v>750</v>
      </c>
      <c r="S56" s="203">
        <f t="shared" si="28"/>
        <v>750</v>
      </c>
      <c r="T56" s="218">
        <f t="shared" si="28"/>
        <v>750</v>
      </c>
      <c r="U56" s="218">
        <f t="shared" si="28"/>
        <v>750</v>
      </c>
      <c r="V56" s="203">
        <f t="shared" si="28"/>
        <v>750</v>
      </c>
      <c r="W56" s="203">
        <f t="shared" si="28"/>
        <v>750</v>
      </c>
    </row>
    <row r="57" spans="1:23" x14ac:dyDescent="0.5">
      <c r="B57" s="10" t="s">
        <v>54</v>
      </c>
      <c r="F57" s="186" t="s">
        <v>29</v>
      </c>
      <c r="H57" s="201">
        <f t="shared" ca="1" si="27"/>
        <v>2500</v>
      </c>
      <c r="I57" s="202">
        <v>2500</v>
      </c>
      <c r="J57" s="203">
        <f t="shared" ref="J57:J58" si="29">$I57</f>
        <v>2500</v>
      </c>
      <c r="K57" s="203">
        <f t="shared" si="28"/>
        <v>2500</v>
      </c>
      <c r="L57" s="203">
        <f t="shared" si="28"/>
        <v>2500</v>
      </c>
      <c r="M57" s="203">
        <f t="shared" si="28"/>
        <v>2500</v>
      </c>
      <c r="N57" s="203">
        <f t="shared" si="28"/>
        <v>2500</v>
      </c>
      <c r="O57" s="204">
        <f t="shared" si="28"/>
        <v>2500</v>
      </c>
      <c r="P57" s="205">
        <f t="shared" si="28"/>
        <v>2500</v>
      </c>
      <c r="Q57" s="203">
        <f t="shared" si="28"/>
        <v>2500</v>
      </c>
      <c r="R57" s="203">
        <f t="shared" si="28"/>
        <v>2500</v>
      </c>
      <c r="S57" s="203">
        <f t="shared" si="28"/>
        <v>2500</v>
      </c>
      <c r="T57" s="218">
        <f t="shared" si="28"/>
        <v>2500</v>
      </c>
      <c r="U57" s="218">
        <f t="shared" si="28"/>
        <v>2500</v>
      </c>
      <c r="V57" s="203">
        <f t="shared" si="28"/>
        <v>2500</v>
      </c>
      <c r="W57" s="203">
        <f t="shared" si="28"/>
        <v>2500</v>
      </c>
    </row>
    <row r="58" spans="1:23" x14ac:dyDescent="0.5">
      <c r="B58" s="10" t="s">
        <v>78</v>
      </c>
      <c r="F58" s="186" t="s">
        <v>29</v>
      </c>
      <c r="H58" s="201">
        <f t="shared" ca="1" si="27"/>
        <v>20</v>
      </c>
      <c r="I58" s="202">
        <v>20</v>
      </c>
      <c r="J58" s="203">
        <f t="shared" si="29"/>
        <v>20</v>
      </c>
      <c r="K58" s="203">
        <f t="shared" si="28"/>
        <v>20</v>
      </c>
      <c r="L58" s="203">
        <f t="shared" si="28"/>
        <v>20</v>
      </c>
      <c r="M58" s="203">
        <f t="shared" si="28"/>
        <v>20</v>
      </c>
      <c r="N58" s="203">
        <f t="shared" si="28"/>
        <v>20</v>
      </c>
      <c r="O58" s="204">
        <f t="shared" si="28"/>
        <v>20</v>
      </c>
      <c r="P58" s="205">
        <f t="shared" si="28"/>
        <v>20</v>
      </c>
      <c r="Q58" s="203">
        <f t="shared" si="28"/>
        <v>20</v>
      </c>
      <c r="R58" s="203">
        <f t="shared" si="28"/>
        <v>20</v>
      </c>
      <c r="S58" s="203">
        <f t="shared" si="28"/>
        <v>20</v>
      </c>
      <c r="T58" s="218">
        <f t="shared" si="28"/>
        <v>20</v>
      </c>
      <c r="U58" s="218">
        <f t="shared" si="28"/>
        <v>20</v>
      </c>
      <c r="V58" s="203">
        <f t="shared" si="28"/>
        <v>20</v>
      </c>
      <c r="W58" s="203">
        <f t="shared" si="28"/>
        <v>20</v>
      </c>
    </row>
    <row r="59" spans="1:23" x14ac:dyDescent="0.5">
      <c r="I59" s="228"/>
      <c r="J59" s="229"/>
      <c r="K59" s="229"/>
      <c r="L59" s="229"/>
      <c r="M59" s="229"/>
      <c r="N59" s="229"/>
      <c r="O59" s="230"/>
      <c r="P59" s="229"/>
      <c r="Q59" s="229"/>
      <c r="R59" s="229"/>
      <c r="S59" s="229"/>
      <c r="T59" s="229"/>
      <c r="U59" s="229"/>
      <c r="V59" s="229"/>
      <c r="W59" s="229"/>
    </row>
    <row r="60" spans="1:23" x14ac:dyDescent="0.5">
      <c r="A60" s="82" t="s">
        <v>10</v>
      </c>
      <c r="B60" s="83" t="s">
        <v>166</v>
      </c>
      <c r="C60" s="83"/>
      <c r="D60" s="83"/>
      <c r="E60" s="83"/>
      <c r="F60" s="211"/>
      <c r="G60" s="85"/>
      <c r="H60" s="85"/>
      <c r="I60" s="236"/>
      <c r="J60" s="237"/>
      <c r="K60" s="237"/>
      <c r="L60" s="237"/>
      <c r="M60" s="237"/>
      <c r="N60" s="237"/>
      <c r="O60" s="238"/>
      <c r="P60" s="237"/>
      <c r="Q60" s="237"/>
      <c r="R60" s="237"/>
      <c r="S60" s="237"/>
      <c r="T60" s="237"/>
      <c r="U60" s="237"/>
      <c r="V60" s="237"/>
      <c r="W60" s="237"/>
    </row>
    <row r="61" spans="1:23" ht="3" customHeight="1" x14ac:dyDescent="0.5">
      <c r="I61" s="228"/>
      <c r="J61" s="229"/>
      <c r="K61" s="229"/>
      <c r="L61" s="229"/>
      <c r="M61" s="229"/>
      <c r="N61" s="229"/>
      <c r="O61" s="230"/>
      <c r="P61" s="229"/>
      <c r="Q61" s="229"/>
      <c r="R61" s="229"/>
      <c r="S61" s="229"/>
      <c r="T61" s="229"/>
      <c r="U61" s="229"/>
      <c r="V61" s="229"/>
      <c r="W61" s="229"/>
    </row>
    <row r="62" spans="1:23" x14ac:dyDescent="0.5">
      <c r="B62" s="10" t="s">
        <v>167</v>
      </c>
      <c r="F62" s="186" t="s">
        <v>30</v>
      </c>
      <c r="H62" s="221">
        <f t="shared" ref="H62:H63" ca="1" si="30">OFFSET(H62,,H$11)</f>
        <v>0.15</v>
      </c>
      <c r="I62" s="222">
        <v>0.15</v>
      </c>
      <c r="J62" s="223">
        <f t="shared" ref="J62:W63" si="31">$I62</f>
        <v>0.15</v>
      </c>
      <c r="K62" s="223">
        <f t="shared" si="31"/>
        <v>0.15</v>
      </c>
      <c r="L62" s="223">
        <f t="shared" si="31"/>
        <v>0.15</v>
      </c>
      <c r="M62" s="223">
        <f t="shared" si="31"/>
        <v>0.15</v>
      </c>
      <c r="N62" s="223">
        <f t="shared" si="31"/>
        <v>0.15</v>
      </c>
      <c r="O62" s="224">
        <f t="shared" si="31"/>
        <v>0.15</v>
      </c>
      <c r="P62" s="225">
        <f t="shared" si="31"/>
        <v>0.15</v>
      </c>
      <c r="Q62" s="223">
        <f t="shared" si="31"/>
        <v>0.15</v>
      </c>
      <c r="R62" s="223">
        <f t="shared" si="31"/>
        <v>0.15</v>
      </c>
      <c r="S62" s="223">
        <f t="shared" si="31"/>
        <v>0.15</v>
      </c>
      <c r="T62" s="223">
        <f t="shared" si="31"/>
        <v>0.15</v>
      </c>
      <c r="U62" s="223">
        <f t="shared" si="31"/>
        <v>0.15</v>
      </c>
      <c r="V62" s="223">
        <f t="shared" si="31"/>
        <v>0.15</v>
      </c>
      <c r="W62" s="223">
        <f t="shared" si="31"/>
        <v>0.15</v>
      </c>
    </row>
    <row r="63" spans="1:23" x14ac:dyDescent="0.5">
      <c r="B63" s="10" t="s">
        <v>168</v>
      </c>
      <c r="F63" s="186" t="s">
        <v>30</v>
      </c>
      <c r="H63" s="221">
        <f t="shared" ca="1" si="30"/>
        <v>0.08</v>
      </c>
      <c r="I63" s="222">
        <v>0.08</v>
      </c>
      <c r="J63" s="223">
        <f t="shared" si="31"/>
        <v>0.08</v>
      </c>
      <c r="K63" s="223">
        <f t="shared" si="31"/>
        <v>0.08</v>
      </c>
      <c r="L63" s="223">
        <f t="shared" si="31"/>
        <v>0.08</v>
      </c>
      <c r="M63" s="223">
        <f t="shared" si="31"/>
        <v>0.08</v>
      </c>
      <c r="N63" s="223">
        <f t="shared" si="31"/>
        <v>0.08</v>
      </c>
      <c r="O63" s="224">
        <f t="shared" si="31"/>
        <v>0.08</v>
      </c>
      <c r="P63" s="225">
        <f t="shared" si="31"/>
        <v>0.08</v>
      </c>
      <c r="Q63" s="223">
        <f t="shared" si="31"/>
        <v>0.08</v>
      </c>
      <c r="R63" s="223">
        <f t="shared" si="31"/>
        <v>0.08</v>
      </c>
      <c r="S63" s="223">
        <f t="shared" si="31"/>
        <v>0.08</v>
      </c>
      <c r="T63" s="223">
        <f t="shared" si="31"/>
        <v>0.08</v>
      </c>
      <c r="U63" s="223">
        <f t="shared" si="31"/>
        <v>0.08</v>
      </c>
      <c r="V63" s="223">
        <f t="shared" si="31"/>
        <v>0.08</v>
      </c>
      <c r="W63" s="223">
        <f t="shared" si="31"/>
        <v>0.08</v>
      </c>
    </row>
    <row r="64" spans="1:23" x14ac:dyDescent="0.5">
      <c r="I64" s="228"/>
      <c r="J64" s="229"/>
      <c r="K64" s="229"/>
      <c r="L64" s="229"/>
      <c r="M64" s="229"/>
      <c r="N64" s="229"/>
      <c r="O64" s="230"/>
      <c r="P64" s="229"/>
      <c r="Q64" s="229"/>
      <c r="R64" s="229"/>
      <c r="S64" s="229"/>
      <c r="T64" s="229"/>
      <c r="U64" s="229"/>
      <c r="V64" s="229"/>
      <c r="W64" s="229"/>
    </row>
    <row r="65" spans="1:23" x14ac:dyDescent="0.5">
      <c r="B65" s="220" t="s">
        <v>169</v>
      </c>
      <c r="I65" s="228"/>
      <c r="J65" s="229"/>
      <c r="K65" s="229"/>
      <c r="L65" s="229"/>
      <c r="M65" s="229"/>
      <c r="N65" s="229"/>
      <c r="O65" s="230"/>
      <c r="P65" s="229"/>
      <c r="Q65" s="229"/>
      <c r="R65" s="229"/>
      <c r="S65" s="229"/>
      <c r="T65" s="229"/>
      <c r="U65" s="229"/>
      <c r="V65" s="229"/>
      <c r="W65" s="229"/>
    </row>
    <row r="66" spans="1:23" x14ac:dyDescent="0.5">
      <c r="B66" s="10" t="s">
        <v>170</v>
      </c>
      <c r="F66" s="186" t="s">
        <v>199</v>
      </c>
      <c r="H66" s="201">
        <f t="shared" ref="H66:H69" ca="1" si="32">OFFSET(H66,,H$11)</f>
        <v>120</v>
      </c>
      <c r="I66" s="202">
        <v>120</v>
      </c>
      <c r="J66" s="203">
        <f t="shared" ref="J66:W69" si="33">$I66</f>
        <v>120</v>
      </c>
      <c r="K66" s="203">
        <f t="shared" si="33"/>
        <v>120</v>
      </c>
      <c r="L66" s="203">
        <f t="shared" si="33"/>
        <v>120</v>
      </c>
      <c r="M66" s="203">
        <f t="shared" si="33"/>
        <v>120</v>
      </c>
      <c r="N66" s="203">
        <f t="shared" si="33"/>
        <v>120</v>
      </c>
      <c r="O66" s="204">
        <f t="shared" si="33"/>
        <v>120</v>
      </c>
      <c r="P66" s="205">
        <f t="shared" si="33"/>
        <v>120</v>
      </c>
      <c r="Q66" s="203">
        <f t="shared" si="33"/>
        <v>120</v>
      </c>
      <c r="R66" s="203">
        <f t="shared" si="33"/>
        <v>120</v>
      </c>
      <c r="S66" s="203">
        <f t="shared" si="33"/>
        <v>120</v>
      </c>
      <c r="T66" s="203">
        <f t="shared" si="33"/>
        <v>120</v>
      </c>
      <c r="U66" s="203">
        <f t="shared" si="33"/>
        <v>120</v>
      </c>
      <c r="V66" s="203">
        <f t="shared" si="33"/>
        <v>120</v>
      </c>
      <c r="W66" s="203">
        <f t="shared" si="33"/>
        <v>120</v>
      </c>
    </row>
    <row r="67" spans="1:23" x14ac:dyDescent="0.5">
      <c r="B67" s="10" t="s">
        <v>171</v>
      </c>
      <c r="F67" s="186" t="s">
        <v>199</v>
      </c>
      <c r="H67" s="201">
        <f t="shared" ca="1" si="32"/>
        <v>150</v>
      </c>
      <c r="I67" s="202">
        <v>150</v>
      </c>
      <c r="J67" s="203">
        <f t="shared" si="33"/>
        <v>150</v>
      </c>
      <c r="K67" s="203">
        <f t="shared" si="33"/>
        <v>150</v>
      </c>
      <c r="L67" s="203">
        <f t="shared" si="33"/>
        <v>150</v>
      </c>
      <c r="M67" s="203">
        <f t="shared" si="33"/>
        <v>150</v>
      </c>
      <c r="N67" s="203">
        <f t="shared" si="33"/>
        <v>150</v>
      </c>
      <c r="O67" s="204">
        <f t="shared" si="33"/>
        <v>150</v>
      </c>
      <c r="P67" s="205">
        <f t="shared" si="33"/>
        <v>150</v>
      </c>
      <c r="Q67" s="203">
        <f t="shared" si="33"/>
        <v>150</v>
      </c>
      <c r="R67" s="203">
        <f t="shared" si="33"/>
        <v>150</v>
      </c>
      <c r="S67" s="203">
        <f t="shared" si="33"/>
        <v>150</v>
      </c>
      <c r="T67" s="203">
        <f t="shared" si="33"/>
        <v>150</v>
      </c>
      <c r="U67" s="203">
        <f t="shared" si="33"/>
        <v>150</v>
      </c>
      <c r="V67" s="203">
        <f t="shared" si="33"/>
        <v>150</v>
      </c>
      <c r="W67" s="203">
        <f t="shared" si="33"/>
        <v>150</v>
      </c>
    </row>
    <row r="68" spans="1:23" x14ac:dyDescent="0.5">
      <c r="B68" s="10" t="s">
        <v>60</v>
      </c>
      <c r="F68" s="186" t="s">
        <v>199</v>
      </c>
      <c r="H68" s="201">
        <f t="shared" ca="1" si="32"/>
        <v>180</v>
      </c>
      <c r="I68" s="202">
        <v>180</v>
      </c>
      <c r="J68" s="203">
        <f t="shared" si="33"/>
        <v>180</v>
      </c>
      <c r="K68" s="203">
        <f t="shared" si="33"/>
        <v>180</v>
      </c>
      <c r="L68" s="203">
        <f t="shared" si="33"/>
        <v>180</v>
      </c>
      <c r="M68" s="203">
        <f t="shared" si="33"/>
        <v>180</v>
      </c>
      <c r="N68" s="203">
        <f t="shared" si="33"/>
        <v>180</v>
      </c>
      <c r="O68" s="204">
        <f t="shared" si="33"/>
        <v>180</v>
      </c>
      <c r="P68" s="205">
        <f t="shared" si="33"/>
        <v>180</v>
      </c>
      <c r="Q68" s="203">
        <f t="shared" si="33"/>
        <v>180</v>
      </c>
      <c r="R68" s="203">
        <f t="shared" si="33"/>
        <v>180</v>
      </c>
      <c r="S68" s="203">
        <f t="shared" si="33"/>
        <v>180</v>
      </c>
      <c r="T68" s="203">
        <f t="shared" si="33"/>
        <v>180</v>
      </c>
      <c r="U68" s="203">
        <f t="shared" si="33"/>
        <v>180</v>
      </c>
      <c r="V68" s="203">
        <f t="shared" si="33"/>
        <v>180</v>
      </c>
      <c r="W68" s="203">
        <f t="shared" si="33"/>
        <v>180</v>
      </c>
    </row>
    <row r="69" spans="1:23" x14ac:dyDescent="0.5">
      <c r="B69" s="10" t="s">
        <v>172</v>
      </c>
      <c r="F69" s="186" t="s">
        <v>199</v>
      </c>
      <c r="H69" s="201">
        <f t="shared" ca="1" si="32"/>
        <v>120</v>
      </c>
      <c r="I69" s="202">
        <v>120</v>
      </c>
      <c r="J69" s="203">
        <f t="shared" si="33"/>
        <v>120</v>
      </c>
      <c r="K69" s="203">
        <f t="shared" si="33"/>
        <v>120</v>
      </c>
      <c r="L69" s="203">
        <f t="shared" si="33"/>
        <v>120</v>
      </c>
      <c r="M69" s="203">
        <f t="shared" si="33"/>
        <v>120</v>
      </c>
      <c r="N69" s="203">
        <f t="shared" si="33"/>
        <v>120</v>
      </c>
      <c r="O69" s="204">
        <f t="shared" si="33"/>
        <v>120</v>
      </c>
      <c r="P69" s="205">
        <f t="shared" si="33"/>
        <v>120</v>
      </c>
      <c r="Q69" s="203">
        <f t="shared" si="33"/>
        <v>120</v>
      </c>
      <c r="R69" s="203">
        <f t="shared" si="33"/>
        <v>120</v>
      </c>
      <c r="S69" s="203">
        <f t="shared" si="33"/>
        <v>120</v>
      </c>
      <c r="T69" s="203">
        <f t="shared" si="33"/>
        <v>120</v>
      </c>
      <c r="U69" s="203">
        <f t="shared" si="33"/>
        <v>120</v>
      </c>
      <c r="V69" s="203">
        <f t="shared" si="33"/>
        <v>120</v>
      </c>
      <c r="W69" s="203">
        <f t="shared" si="33"/>
        <v>120</v>
      </c>
    </row>
    <row r="70" spans="1:23" x14ac:dyDescent="0.5">
      <c r="I70" s="228"/>
      <c r="J70" s="229"/>
      <c r="K70" s="229"/>
      <c r="L70" s="229"/>
      <c r="M70" s="229"/>
      <c r="N70" s="229"/>
      <c r="O70" s="230"/>
      <c r="P70" s="229"/>
      <c r="Q70" s="229"/>
      <c r="R70" s="229"/>
      <c r="S70" s="229"/>
      <c r="T70" s="229"/>
      <c r="U70" s="229"/>
      <c r="V70" s="229"/>
      <c r="W70" s="229"/>
    </row>
    <row r="71" spans="1:23" x14ac:dyDescent="0.5">
      <c r="A71" s="82" t="s">
        <v>10</v>
      </c>
      <c r="B71" s="83" t="s">
        <v>173</v>
      </c>
      <c r="C71" s="83"/>
      <c r="D71" s="83"/>
      <c r="E71" s="83"/>
      <c r="F71" s="211"/>
      <c r="G71" s="85"/>
      <c r="H71" s="85"/>
      <c r="I71" s="236"/>
      <c r="J71" s="237"/>
      <c r="K71" s="237"/>
      <c r="L71" s="237"/>
      <c r="M71" s="237"/>
      <c r="N71" s="237"/>
      <c r="O71" s="238"/>
      <c r="P71" s="237"/>
      <c r="Q71" s="237"/>
      <c r="R71" s="237"/>
      <c r="S71" s="237"/>
      <c r="T71" s="237"/>
      <c r="U71" s="237"/>
      <c r="V71" s="237"/>
      <c r="W71" s="237"/>
    </row>
    <row r="72" spans="1:23" ht="3" customHeight="1" x14ac:dyDescent="0.5">
      <c r="I72" s="228"/>
      <c r="J72" s="229"/>
      <c r="K72" s="229"/>
      <c r="L72" s="229"/>
      <c r="M72" s="229"/>
      <c r="N72" s="229"/>
      <c r="O72" s="230"/>
      <c r="P72" s="229"/>
      <c r="Q72" s="229"/>
      <c r="R72" s="229"/>
      <c r="S72" s="229"/>
      <c r="T72" s="229"/>
      <c r="U72" s="229"/>
      <c r="V72" s="229"/>
      <c r="W72" s="229"/>
    </row>
    <row r="73" spans="1:23" x14ac:dyDescent="0.5">
      <c r="B73" s="10" t="s">
        <v>174</v>
      </c>
      <c r="F73" s="186" t="s">
        <v>30</v>
      </c>
      <c r="H73" s="221">
        <f t="shared" ref="H73:H74" ca="1" si="34">OFFSET(H73,,H$11)</f>
        <v>7.0000000000000007E-2</v>
      </c>
      <c r="I73" s="222">
        <v>7.0000000000000007E-2</v>
      </c>
      <c r="J73" s="223">
        <f t="shared" ref="J73:W74" si="35">$I73</f>
        <v>7.0000000000000007E-2</v>
      </c>
      <c r="K73" s="223">
        <f t="shared" si="35"/>
        <v>7.0000000000000007E-2</v>
      </c>
      <c r="L73" s="223">
        <f t="shared" si="35"/>
        <v>7.0000000000000007E-2</v>
      </c>
      <c r="M73" s="223">
        <f t="shared" si="35"/>
        <v>7.0000000000000007E-2</v>
      </c>
      <c r="N73" s="223">
        <f t="shared" si="35"/>
        <v>7.0000000000000007E-2</v>
      </c>
      <c r="O73" s="224">
        <f t="shared" si="35"/>
        <v>7.0000000000000007E-2</v>
      </c>
      <c r="P73" s="225">
        <f t="shared" si="35"/>
        <v>7.0000000000000007E-2</v>
      </c>
      <c r="Q73" s="223">
        <f t="shared" si="35"/>
        <v>7.0000000000000007E-2</v>
      </c>
      <c r="R73" s="223">
        <f t="shared" si="35"/>
        <v>7.0000000000000007E-2</v>
      </c>
      <c r="S73" s="223">
        <f t="shared" si="35"/>
        <v>7.0000000000000007E-2</v>
      </c>
      <c r="T73" s="223">
        <f t="shared" si="35"/>
        <v>7.0000000000000007E-2</v>
      </c>
      <c r="U73" s="223">
        <f t="shared" si="35"/>
        <v>7.0000000000000007E-2</v>
      </c>
      <c r="V73" s="223">
        <f t="shared" si="35"/>
        <v>7.0000000000000007E-2</v>
      </c>
      <c r="W73" s="223">
        <f t="shared" si="35"/>
        <v>7.0000000000000007E-2</v>
      </c>
    </row>
    <row r="74" spans="1:23" x14ac:dyDescent="0.5">
      <c r="B74" s="10" t="s">
        <v>175</v>
      </c>
      <c r="F74" s="186" t="s">
        <v>198</v>
      </c>
      <c r="H74" s="201">
        <f t="shared" ca="1" si="34"/>
        <v>200</v>
      </c>
      <c r="I74" s="202">
        <v>200</v>
      </c>
      <c r="J74" s="203">
        <f t="shared" si="35"/>
        <v>200</v>
      </c>
      <c r="K74" s="203">
        <f t="shared" si="35"/>
        <v>200</v>
      </c>
      <c r="L74" s="203">
        <f t="shared" si="35"/>
        <v>200</v>
      </c>
      <c r="M74" s="203">
        <f t="shared" si="35"/>
        <v>200</v>
      </c>
      <c r="N74" s="203">
        <f t="shared" si="35"/>
        <v>200</v>
      </c>
      <c r="O74" s="204">
        <f t="shared" si="35"/>
        <v>200</v>
      </c>
      <c r="P74" s="205">
        <f t="shared" si="35"/>
        <v>200</v>
      </c>
      <c r="Q74" s="203">
        <f t="shared" si="35"/>
        <v>200</v>
      </c>
      <c r="R74" s="203">
        <f t="shared" si="35"/>
        <v>200</v>
      </c>
      <c r="S74" s="203">
        <f t="shared" si="35"/>
        <v>200</v>
      </c>
      <c r="T74" s="203">
        <f t="shared" si="35"/>
        <v>200</v>
      </c>
      <c r="U74" s="203">
        <f t="shared" si="35"/>
        <v>200</v>
      </c>
      <c r="V74" s="203">
        <f t="shared" si="35"/>
        <v>200</v>
      </c>
      <c r="W74" s="203">
        <f t="shared" si="35"/>
        <v>200</v>
      </c>
    </row>
    <row r="75" spans="1:23" x14ac:dyDescent="0.5">
      <c r="O75" s="184"/>
    </row>
    <row r="76" spans="1:23" x14ac:dyDescent="0.5">
      <c r="A76" s="82" t="s">
        <v>10</v>
      </c>
      <c r="B76" s="115" t="s">
        <v>86</v>
      </c>
      <c r="C76" s="115"/>
      <c r="D76" s="115"/>
      <c r="E76" s="115"/>
      <c r="F76" s="239"/>
      <c r="G76" s="117"/>
      <c r="H76" s="117"/>
      <c r="I76" s="117"/>
      <c r="J76" s="117"/>
      <c r="K76" s="117"/>
      <c r="L76" s="117"/>
      <c r="M76" s="117"/>
      <c r="N76" s="117"/>
      <c r="O76" s="240"/>
      <c r="P76" s="117"/>
      <c r="Q76" s="117"/>
      <c r="R76" s="117"/>
      <c r="S76" s="117"/>
      <c r="T76" s="117"/>
      <c r="U76" s="117"/>
      <c r="V76" s="117"/>
      <c r="W76" s="117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5</xdr:col>
                    <xdr:colOff>613410</xdr:colOff>
                    <xdr:row>9</xdr:row>
                    <xdr:rowOff>182880</xdr:rowOff>
                  </from>
                  <to>
                    <xdr:col>6</xdr:col>
                    <xdr:colOff>624840</xdr:colOff>
                    <xdr:row>12</xdr:row>
                    <xdr:rowOff>3810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1787-D5C4-4F8F-A4AA-DCAB6DBF4D4C}">
  <dimension ref="A1:AQ60"/>
  <sheetViews>
    <sheetView showGridLines="0" zoomScale="85" zoomScaleNormal="85" workbookViewId="0">
      <pane ySplit="8" topLeftCell="A9" activePane="bottomLeft" state="frozen"/>
      <selection activeCell="Q137" sqref="Q137"/>
      <selection pane="bottomLeft"/>
    </sheetView>
  </sheetViews>
  <sheetFormatPr defaultRowHeight="14.4" x14ac:dyDescent="0.55000000000000004"/>
  <cols>
    <col min="1" max="1" width="2.578125" style="17" customWidth="1"/>
    <col min="5" max="5" width="10.3671875" bestFit="1" customWidth="1"/>
    <col min="6" max="6" width="9" customWidth="1"/>
    <col min="11" max="18" width="7.578125" customWidth="1"/>
    <col min="19" max="19" width="1.578125" customWidth="1"/>
    <col min="20" max="21" width="7.83984375" bestFit="1" customWidth="1"/>
    <col min="22" max="22" width="2.578125" customWidth="1"/>
    <col min="23" max="23" width="2.578125" style="19" customWidth="1"/>
  </cols>
  <sheetData>
    <row r="1" spans="1:43" ht="6" customHeight="1" thickBot="1" x14ac:dyDescent="0.6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3" customHeight="1" x14ac:dyDescent="0.55000000000000004">
      <c r="A2" s="1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ht="15.6" x14ac:dyDescent="0.55000000000000004">
      <c r="A3" s="1"/>
      <c r="B3" s="6" t="s">
        <v>248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43" x14ac:dyDescent="0.55000000000000004">
      <c r="A4" s="1"/>
      <c r="B4" s="7" t="s">
        <v>185</v>
      </c>
      <c r="C4" s="4"/>
      <c r="D4" s="4"/>
      <c r="E4" s="4"/>
      <c r="G4" s="8" t="s">
        <v>138</v>
      </c>
      <c r="H4" s="8" t="s">
        <v>176</v>
      </c>
      <c r="I4" s="8" t="s">
        <v>178</v>
      </c>
      <c r="J4" s="8" t="s">
        <v>177</v>
      </c>
      <c r="K4" s="8" t="s">
        <v>184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1:43" s="10" customFormat="1" ht="12.9" x14ac:dyDescent="0.5">
      <c r="A5" s="1"/>
      <c r="B5" s="9" t="str">
        <f ca="1">Ctrl!$B$5</f>
        <v>CASE 1: BASE CASE</v>
      </c>
      <c r="C5" s="4"/>
      <c r="D5" s="4"/>
      <c r="E5" s="4"/>
      <c r="G5" s="11">
        <f ca="1">Sum!$E$19</f>
        <v>16</v>
      </c>
      <c r="H5" s="12">
        <f ca="1">Sum!$E$28</f>
        <v>3259.9200858489485</v>
      </c>
      <c r="I5" s="13">
        <f ca="1">Sum!$E$21</f>
        <v>45626</v>
      </c>
      <c r="J5" s="12">
        <f ca="1">'Calc.Mth'!$AI$57</f>
        <v>2999.7355308861597</v>
      </c>
      <c r="K5" s="12">
        <f ca="1">Fin.Mth!$AI$81</f>
        <v>1487.7626164462733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x14ac:dyDescent="0.55000000000000004">
      <c r="A6" s="1"/>
      <c r="B6" s="7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3" ht="3" customHeight="1" thickBot="1" x14ac:dyDescent="0.6">
      <c r="A7" s="1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3" customHeight="1" x14ac:dyDescent="0.55000000000000004">
      <c r="A8" s="1"/>
      <c r="B8" s="4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spans="1:43" s="10" customFormat="1" ht="3" customHeight="1" x14ac:dyDescent="0.5">
      <c r="A9" s="1"/>
      <c r="B9" s="4"/>
      <c r="C9" s="4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1:43" x14ac:dyDescent="0.55000000000000004">
      <c r="A10" s="14">
        <v>1</v>
      </c>
      <c r="B10" s="15" t="s">
        <v>130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W10" s="14">
        <v>2</v>
      </c>
      <c r="X10" s="15" t="s">
        <v>131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2" spans="1:43" ht="14.7" thickBot="1" x14ac:dyDescent="0.6">
      <c r="K12" s="18" t="s">
        <v>129</v>
      </c>
      <c r="L12" s="18"/>
      <c r="M12" s="18"/>
      <c r="N12" s="18"/>
      <c r="O12" s="18"/>
      <c r="P12" s="18"/>
      <c r="Q12" s="18"/>
      <c r="R12" s="18"/>
      <c r="T12" s="18" t="s">
        <v>93</v>
      </c>
      <c r="U12" s="18"/>
      <c r="X12" s="20" t="s">
        <v>151</v>
      </c>
      <c r="Y12" s="21"/>
      <c r="Z12" s="21"/>
      <c r="AA12" s="21"/>
      <c r="AB12" s="21"/>
      <c r="AC12" s="22"/>
      <c r="AE12" s="20" t="s">
        <v>152</v>
      </c>
      <c r="AF12" s="21"/>
      <c r="AG12" s="21"/>
      <c r="AH12" s="21"/>
      <c r="AI12" s="21"/>
      <c r="AJ12" s="22"/>
      <c r="AL12" s="23" t="s">
        <v>240</v>
      </c>
      <c r="AM12" s="24"/>
      <c r="AN12" s="24" t="s">
        <v>207</v>
      </c>
      <c r="AO12" s="24" t="s">
        <v>208</v>
      </c>
      <c r="AP12" s="24" t="s">
        <v>209</v>
      </c>
      <c r="AQ12" s="24" t="s">
        <v>25</v>
      </c>
    </row>
    <row r="13" spans="1:43" ht="14.7" thickBot="1" x14ac:dyDescent="0.6">
      <c r="G13" s="25" t="s">
        <v>133</v>
      </c>
      <c r="H13" s="25"/>
      <c r="I13" s="25"/>
      <c r="J13" s="25"/>
      <c r="K13" s="26">
        <f>Fin.Qtr!L7</f>
        <v>45382</v>
      </c>
      <c r="L13" s="26">
        <f>Fin.Qtr!M7</f>
        <v>45473</v>
      </c>
      <c r="M13" s="26">
        <f>Fin.Qtr!N7</f>
        <v>45565</v>
      </c>
      <c r="N13" s="26">
        <f>Fin.Qtr!O7</f>
        <v>45657</v>
      </c>
      <c r="O13" s="26">
        <f>Fin.Qtr!P7</f>
        <v>45747</v>
      </c>
      <c r="P13" s="26">
        <f>Fin.Qtr!Q7</f>
        <v>45838</v>
      </c>
      <c r="Q13" s="26">
        <f>Fin.Qtr!R7</f>
        <v>45930</v>
      </c>
      <c r="R13" s="26">
        <f>Fin.Qtr!S7</f>
        <v>46022</v>
      </c>
      <c r="S13" s="27"/>
      <c r="T13" s="28">
        <f>Fin.Qtr!U7</f>
        <v>45657</v>
      </c>
      <c r="U13" s="28">
        <f>Fin.Qtr!V7</f>
        <v>46022</v>
      </c>
      <c r="X13" s="29"/>
      <c r="AC13" s="30"/>
      <c r="AE13" s="29"/>
      <c r="AJ13" s="30"/>
      <c r="AL13" t="s">
        <v>210</v>
      </c>
      <c r="AP13" s="31">
        <f>AQ13</f>
        <v>2999.7355308861597</v>
      </c>
      <c r="AQ13" s="31">
        <v>2999.7355308861597</v>
      </c>
    </row>
    <row r="14" spans="1:43" x14ac:dyDescent="0.55000000000000004">
      <c r="B14" s="15" t="s">
        <v>149</v>
      </c>
      <c r="C14" s="16"/>
      <c r="D14" s="16"/>
      <c r="E14" s="16"/>
      <c r="G14" s="15" t="s">
        <v>11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T14" s="16"/>
      <c r="U14" s="16"/>
      <c r="X14" s="29"/>
      <c r="AC14" s="30"/>
      <c r="AE14" s="29"/>
      <c r="AJ14" s="30"/>
      <c r="AL14" t="s">
        <v>217</v>
      </c>
      <c r="AN14" s="31">
        <f>AP13</f>
        <v>2999.7355308861597</v>
      </c>
      <c r="AO14" s="31">
        <f>AQ14-AP13</f>
        <v>101.273316275252</v>
      </c>
      <c r="AQ14" s="31">
        <f>Ctrl!M20</f>
        <v>3101.0088471614117</v>
      </c>
    </row>
    <row r="15" spans="1:43" x14ac:dyDescent="0.55000000000000004">
      <c r="B15" s="32" t="s">
        <v>140</v>
      </c>
      <c r="C15" s="32"/>
      <c r="D15" s="32"/>
      <c r="E15" s="33">
        <v>45292</v>
      </c>
      <c r="G15" s="34" t="str">
        <f>Fin.Qtr!B17</f>
        <v># CUSTOMERS</v>
      </c>
      <c r="H15" s="35"/>
      <c r="I15" s="35"/>
      <c r="J15" s="35"/>
      <c r="K15" s="36"/>
      <c r="L15" s="36"/>
      <c r="M15" s="36"/>
      <c r="N15" s="36"/>
      <c r="O15" s="36"/>
      <c r="P15" s="36"/>
      <c r="Q15" s="36"/>
      <c r="R15" s="36"/>
      <c r="T15" s="36"/>
      <c r="U15" s="36"/>
      <c r="X15" s="29"/>
      <c r="AC15" s="30"/>
      <c r="AE15" s="29"/>
      <c r="AJ15" s="30"/>
      <c r="AL15" t="s">
        <v>218</v>
      </c>
      <c r="AN15" s="31">
        <f>AQ14</f>
        <v>3101.0088471614117</v>
      </c>
      <c r="AO15" s="31">
        <f>AQ15-AN15</f>
        <v>661.93336136596054</v>
      </c>
      <c r="AQ15" s="31">
        <f>Ctrl!N20</f>
        <v>3762.9422085273723</v>
      </c>
    </row>
    <row r="16" spans="1:43" x14ac:dyDescent="0.55000000000000004">
      <c r="B16" s="32"/>
      <c r="C16" s="32"/>
      <c r="D16" s="32"/>
      <c r="E16" s="32"/>
      <c r="G16" s="32" t="str">
        <f>Fin.Qtr!B18</f>
        <v>Monthly Plan</v>
      </c>
      <c r="H16" s="32"/>
      <c r="I16" s="32"/>
      <c r="J16" s="32"/>
      <c r="K16" s="37">
        <f ca="1">Fin.Qtr!L18</f>
        <v>3471.21875</v>
      </c>
      <c r="L16" s="37">
        <f ca="1">Fin.Qtr!M18</f>
        <v>2131.7622148437495</v>
      </c>
      <c r="M16" s="37">
        <f ca="1">Fin.Qtr!N18</f>
        <v>1309.1684701909176</v>
      </c>
      <c r="N16" s="37">
        <f ca="1">Fin.Qtr!O18</f>
        <v>803.99308675599752</v>
      </c>
      <c r="O16" s="37">
        <f ca="1">Fin.Qtr!P18</f>
        <v>493.75225440402698</v>
      </c>
      <c r="P16" s="37">
        <f ca="1">Fin.Qtr!Q18</f>
        <v>303.22560323587311</v>
      </c>
      <c r="Q16" s="37">
        <f ca="1">Fin.Qtr!R18</f>
        <v>186.2184235872306</v>
      </c>
      <c r="R16" s="37">
        <f ca="1">Fin.Qtr!S18</f>
        <v>114.36138938550796</v>
      </c>
      <c r="T16" s="37">
        <f ca="1">Fin.Qtr!U18</f>
        <v>1929.0356304476663</v>
      </c>
      <c r="U16" s="37">
        <f ca="1">Fin.Qtr!V18</f>
        <v>274.38941765315968</v>
      </c>
      <c r="X16" s="29"/>
      <c r="AC16" s="30"/>
      <c r="AE16" s="29"/>
      <c r="AJ16" s="30"/>
      <c r="AL16" s="38" t="s">
        <v>213</v>
      </c>
      <c r="AM16" s="38"/>
      <c r="AN16" s="38"/>
      <c r="AO16" s="38"/>
      <c r="AP16" s="39">
        <f>AQ15</f>
        <v>3762.9422085273723</v>
      </c>
      <c r="AQ16" s="38"/>
    </row>
    <row r="17" spans="2:43" x14ac:dyDescent="0.55000000000000004">
      <c r="B17" s="32" t="s">
        <v>141</v>
      </c>
      <c r="C17" s="32"/>
      <c r="D17" s="32"/>
      <c r="E17" s="37">
        <f>Fin.Mth!K68</f>
        <v>3000</v>
      </c>
      <c r="G17" s="32" t="str">
        <f>Fin.Qtr!B19</f>
        <v>Annual Plan</v>
      </c>
      <c r="H17" s="32"/>
      <c r="I17" s="32"/>
      <c r="J17" s="32"/>
      <c r="K17" s="37">
        <f ca="1">Fin.Qtr!L19</f>
        <v>4915</v>
      </c>
      <c r="L17" s="37">
        <f ca="1">Fin.Qtr!M19</f>
        <v>6021.0863449999997</v>
      </c>
      <c r="M17" s="37">
        <f ca="1">Fin.Qtr!N19</f>
        <v>7376.0896793378352</v>
      </c>
      <c r="N17" s="37">
        <f ca="1">Fin.Qtr!O19</f>
        <v>9036.027029045059</v>
      </c>
      <c r="O17" s="37">
        <f ca="1">Fin.Qtr!P19</f>
        <v>9188.5142972424455</v>
      </c>
      <c r="P17" s="37">
        <f ca="1">Fin.Qtr!Q19</f>
        <v>10842.727132986778</v>
      </c>
      <c r="Q17" s="37">
        <f ca="1">Fin.Qtr!R19</f>
        <v>12776.131656080819</v>
      </c>
      <c r="R17" s="37">
        <f ca="1">Fin.Qtr!S19</f>
        <v>15030.611599430484</v>
      </c>
      <c r="T17" s="37">
        <f ca="1">Fin.Qtr!U19</f>
        <v>6837.0507633457237</v>
      </c>
      <c r="U17" s="37">
        <f ca="1">Fin.Qtr!V19</f>
        <v>11959.496171435132</v>
      </c>
      <c r="X17" s="29"/>
      <c r="AC17" s="30"/>
      <c r="AE17" s="29"/>
      <c r="AJ17" s="30"/>
    </row>
    <row r="18" spans="2:43" x14ac:dyDescent="0.55000000000000004">
      <c r="B18" s="32"/>
      <c r="C18" s="32"/>
      <c r="D18" s="32"/>
      <c r="E18" s="37"/>
      <c r="G18" s="40" t="str">
        <f>Fin.Qtr!B20</f>
        <v>TOTAL</v>
      </c>
      <c r="H18" s="41"/>
      <c r="I18" s="41"/>
      <c r="J18" s="41"/>
      <c r="K18" s="42">
        <f ca="1">Fin.Qtr!L20</f>
        <v>8386.21875</v>
      </c>
      <c r="L18" s="42">
        <f ca="1">Fin.Qtr!M20</f>
        <v>8152.8485598437492</v>
      </c>
      <c r="M18" s="42">
        <f ca="1">Fin.Qtr!N20</f>
        <v>8685.2581495287523</v>
      </c>
      <c r="N18" s="42">
        <f ca="1">Fin.Qtr!O20</f>
        <v>9840.0201158010568</v>
      </c>
      <c r="O18" s="42">
        <f ca="1">Fin.Qtr!P20</f>
        <v>9682.2665516464731</v>
      </c>
      <c r="P18" s="42">
        <f ca="1">Fin.Qtr!Q20</f>
        <v>11145.952736222651</v>
      </c>
      <c r="Q18" s="42">
        <f ca="1">Fin.Qtr!R20</f>
        <v>12962.350079668049</v>
      </c>
      <c r="R18" s="42">
        <f ca="1">Fin.Qtr!S20</f>
        <v>15144.972988815991</v>
      </c>
      <c r="T18" s="42">
        <f ca="1">Fin.Qtr!U20</f>
        <v>8766.08639379339</v>
      </c>
      <c r="U18" s="42">
        <f ca="1">Fin.Qtr!V20</f>
        <v>12233.885589088291</v>
      </c>
      <c r="X18" s="29"/>
      <c r="AC18" s="30"/>
      <c r="AE18" s="29"/>
      <c r="AJ18" s="30"/>
    </row>
    <row r="19" spans="2:43" x14ac:dyDescent="0.55000000000000004">
      <c r="B19" s="40" t="s">
        <v>139</v>
      </c>
      <c r="C19" s="40"/>
      <c r="D19" s="40"/>
      <c r="E19" s="43">
        <f ca="1">Fin.Mth!K69</f>
        <v>16</v>
      </c>
      <c r="G19" s="34" t="str">
        <f>Fin.Qtr!B22</f>
        <v>PRICING</v>
      </c>
      <c r="H19" s="35"/>
      <c r="I19" s="35"/>
      <c r="J19" s="35"/>
      <c r="K19" s="36"/>
      <c r="L19" s="36"/>
      <c r="M19" s="36"/>
      <c r="N19" s="36"/>
      <c r="O19" s="36"/>
      <c r="P19" s="36"/>
      <c r="Q19" s="36"/>
      <c r="R19" s="36"/>
      <c r="T19" s="36"/>
      <c r="U19" s="36"/>
      <c r="X19" s="29"/>
      <c r="AC19" s="30"/>
      <c r="AE19" s="29"/>
      <c r="AJ19" s="30"/>
    </row>
    <row r="20" spans="2:43" x14ac:dyDescent="0.55000000000000004">
      <c r="B20" s="44" t="s">
        <v>142</v>
      </c>
      <c r="C20" s="32"/>
      <c r="D20" s="32"/>
      <c r="E20" s="45">
        <f ca="1">Ctrl!H25</f>
        <v>6</v>
      </c>
      <c r="G20" s="32" t="str">
        <f>Fin.Qtr!B23</f>
        <v>Monthly</v>
      </c>
      <c r="H20" s="32"/>
      <c r="I20" s="32"/>
      <c r="J20" s="32"/>
      <c r="K20" s="37">
        <f ca="1">Fin.Qtr!L23</f>
        <v>30</v>
      </c>
      <c r="L20" s="37">
        <f ca="1">Fin.Qtr!M23</f>
        <v>30</v>
      </c>
      <c r="M20" s="37">
        <f ca="1">Fin.Qtr!N23</f>
        <v>30</v>
      </c>
      <c r="N20" s="37">
        <f ca="1">Fin.Qtr!O23</f>
        <v>30</v>
      </c>
      <c r="O20" s="37">
        <f ca="1">Fin.Qtr!P23</f>
        <v>30</v>
      </c>
      <c r="P20" s="37">
        <f ca="1">Fin.Qtr!Q23</f>
        <v>30</v>
      </c>
      <c r="Q20" s="37">
        <f ca="1">Fin.Qtr!R23</f>
        <v>30</v>
      </c>
      <c r="R20" s="37">
        <f ca="1">Fin.Qtr!S23</f>
        <v>30</v>
      </c>
      <c r="T20" s="37">
        <f ca="1">Fin.Qtr!U23</f>
        <v>30</v>
      </c>
      <c r="U20" s="37">
        <f ca="1">Fin.Qtr!V23</f>
        <v>30</v>
      </c>
      <c r="X20" s="29"/>
      <c r="AC20" s="30"/>
      <c r="AE20" s="29"/>
      <c r="AJ20" s="30"/>
    </row>
    <row r="21" spans="2:43" x14ac:dyDescent="0.55000000000000004">
      <c r="B21" s="46" t="s">
        <v>143</v>
      </c>
      <c r="C21" s="40"/>
      <c r="D21" s="40"/>
      <c r="E21" s="47">
        <f ca="1">EOMONTH(E15,E19-E20)</f>
        <v>45626</v>
      </c>
      <c r="G21" s="32" t="str">
        <f>Fin.Qtr!B24</f>
        <v>Annual</v>
      </c>
      <c r="H21" s="32"/>
      <c r="I21" s="32"/>
      <c r="J21" s="32"/>
      <c r="K21" s="37">
        <f ca="1">Fin.Qtr!L24</f>
        <v>330</v>
      </c>
      <c r="L21" s="37">
        <f ca="1">Fin.Qtr!M24</f>
        <v>330</v>
      </c>
      <c r="M21" s="37">
        <f ca="1">Fin.Qtr!N24</f>
        <v>330</v>
      </c>
      <c r="N21" s="37">
        <f ca="1">Fin.Qtr!O24</f>
        <v>330</v>
      </c>
      <c r="O21" s="37">
        <f ca="1">Fin.Qtr!P24</f>
        <v>330</v>
      </c>
      <c r="P21" s="37">
        <f ca="1">Fin.Qtr!Q24</f>
        <v>330</v>
      </c>
      <c r="Q21" s="37">
        <f ca="1">Fin.Qtr!R24</f>
        <v>330</v>
      </c>
      <c r="R21" s="37">
        <f ca="1">Fin.Qtr!S24</f>
        <v>330</v>
      </c>
      <c r="T21" s="37">
        <f ca="1">Fin.Qtr!U24</f>
        <v>330</v>
      </c>
      <c r="U21" s="37">
        <f ca="1">Fin.Qtr!V24</f>
        <v>330</v>
      </c>
      <c r="X21" s="29"/>
      <c r="AC21" s="30"/>
      <c r="AE21" s="29"/>
      <c r="AJ21" s="30"/>
    </row>
    <row r="22" spans="2:43" x14ac:dyDescent="0.55000000000000004">
      <c r="B22" s="48" t="s">
        <v>144</v>
      </c>
      <c r="C22" s="32"/>
      <c r="D22" s="32"/>
      <c r="E22" s="49">
        <f ca="1">YEARFRAC(E15,E21)*12</f>
        <v>10.966666666666667</v>
      </c>
      <c r="G22" s="40" t="s">
        <v>150</v>
      </c>
      <c r="H22" s="41"/>
      <c r="I22" s="41"/>
      <c r="J22" s="41"/>
      <c r="K22" s="42">
        <f ca="1">Fin.Qtr!L25</f>
        <v>21.697049419507049</v>
      </c>
      <c r="L22" s="42">
        <f ca="1">Fin.Qtr!M25</f>
        <v>28.473222823916917</v>
      </c>
      <c r="M22" s="42">
        <f ca="1">Fin.Qtr!N25</f>
        <v>27.714799103983591</v>
      </c>
      <c r="N22" s="42">
        <f ca="1">Fin.Qtr!O25</f>
        <v>27.217224760528058</v>
      </c>
      <c r="O22" s="42">
        <f ca="1">Fin.Qtr!P25</f>
        <v>22.245689497271496</v>
      </c>
      <c r="P22" s="42">
        <f ca="1">Fin.Qtr!Q25</f>
        <v>17.802969334792966</v>
      </c>
      <c r="Q22" s="42">
        <f ca="1">Fin.Qtr!R25</f>
        <v>17.198681834715341</v>
      </c>
      <c r="R22" s="42">
        <f ca="1">Fin.Qtr!S25</f>
        <v>16.673421318705294</v>
      </c>
      <c r="T22" s="42">
        <f ca="1">Fin.Qtr!U25</f>
        <v>26.275574026983904</v>
      </c>
      <c r="U22" s="42">
        <f ca="1">Fin.Qtr!V25</f>
        <v>18.480190496371275</v>
      </c>
      <c r="X22" s="29"/>
      <c r="AC22" s="30"/>
      <c r="AE22" s="29"/>
      <c r="AJ22" s="30"/>
    </row>
    <row r="23" spans="2:43" x14ac:dyDescent="0.55000000000000004">
      <c r="B23" s="50"/>
      <c r="C23" s="32"/>
      <c r="D23" s="32"/>
      <c r="E23" s="32"/>
      <c r="G23" s="34" t="s">
        <v>94</v>
      </c>
      <c r="H23" s="35"/>
      <c r="I23" s="35"/>
      <c r="J23" s="35"/>
      <c r="K23" s="36"/>
      <c r="L23" s="36"/>
      <c r="M23" s="36"/>
      <c r="N23" s="36"/>
      <c r="O23" s="36"/>
      <c r="P23" s="36"/>
      <c r="Q23" s="36"/>
      <c r="R23" s="36"/>
      <c r="T23" s="36"/>
      <c r="U23" s="36"/>
      <c r="X23" s="29"/>
      <c r="AC23" s="30"/>
      <c r="AE23" s="29"/>
      <c r="AJ23" s="30"/>
    </row>
    <row r="24" spans="2:43" x14ac:dyDescent="0.55000000000000004">
      <c r="B24" s="50" t="s">
        <v>145</v>
      </c>
      <c r="C24" s="32"/>
      <c r="D24" s="32"/>
      <c r="E24" s="32"/>
      <c r="G24" s="32" t="str">
        <f>Fin.Qtr!B28</f>
        <v>Bookings</v>
      </c>
      <c r="H24" s="32"/>
      <c r="I24" s="32"/>
      <c r="J24" s="32"/>
      <c r="K24" s="37">
        <f ca="1">Fin.Qtr!L28</f>
        <v>1685.0770312500001</v>
      </c>
      <c r="L24" s="37">
        <f ca="1">Fin.Qtr!M28</f>
        <v>710.00898342890616</v>
      </c>
      <c r="M24" s="37">
        <f ca="1">Fin.Qtr!N28</f>
        <v>584.70450523094928</v>
      </c>
      <c r="N24" s="37">
        <f ca="1">Fin.Qtr!O28</f>
        <v>623.31875602191121</v>
      </c>
      <c r="O24" s="37">
        <f ca="1">Fin.Qtr!P28</f>
        <v>670.03803431485062</v>
      </c>
      <c r="P24" s="37">
        <f ca="1">Fin.Qtr!Q28</f>
        <v>693.26004751693938</v>
      </c>
      <c r="Q24" s="37">
        <f ca="1">Fin.Qtr!R28</f>
        <v>794.96787422500756</v>
      </c>
      <c r="R24" s="37">
        <f ca="1">Fin.Qtr!S28</f>
        <v>924.24868276599216</v>
      </c>
      <c r="T24" s="37">
        <f ca="1">Fin.Qtr!U28</f>
        <v>900.77731898294178</v>
      </c>
      <c r="U24" s="37">
        <f ca="1">Fin.Qtr!V28</f>
        <v>770.62865970569749</v>
      </c>
      <c r="X24" s="29"/>
      <c r="AC24" s="30"/>
      <c r="AE24" s="29"/>
      <c r="AJ24" s="30"/>
    </row>
    <row r="25" spans="2:43" x14ac:dyDescent="0.55000000000000004">
      <c r="B25" s="32" t="s">
        <v>146</v>
      </c>
      <c r="C25" s="32"/>
      <c r="D25" s="32"/>
      <c r="E25" s="37">
        <f ca="1">-(Fin.Mth!K68+Fin.Mth!K66)</f>
        <v>1759.9200858489485</v>
      </c>
      <c r="G25" s="32" t="str">
        <f>Fin.Qtr!B29</f>
        <v>Revenue</v>
      </c>
      <c r="H25" s="32"/>
      <c r="I25" s="32"/>
      <c r="J25" s="32"/>
      <c r="K25" s="37">
        <f ca="1">Fin.Qtr!L29</f>
        <v>468.61453125000003</v>
      </c>
      <c r="L25" s="37">
        <f ca="1">Fin.Qtr!M29</f>
        <v>697.54206749765626</v>
      </c>
      <c r="M25" s="37">
        <f ca="1">Fin.Qtr!N29</f>
        <v>703.13387709778294</v>
      </c>
      <c r="N25" s="37">
        <f ca="1">Fin.Qtr!O29</f>
        <v>768.3998290217728</v>
      </c>
      <c r="O25" s="37">
        <f ca="1">Fin.Qtr!P29</f>
        <v>637.06934142894499</v>
      </c>
      <c r="P25" s="37">
        <f ca="1">Fin.Qtr!Q29</f>
        <v>567.61636220228593</v>
      </c>
      <c r="Q25" s="37">
        <f ca="1">Fin.Qtr!R29</f>
        <v>635.97525350974058</v>
      </c>
      <c r="R25" s="37">
        <f ca="1">Fin.Qtr!S29</f>
        <v>719.51003630009961</v>
      </c>
      <c r="T25" s="37">
        <f ca="1">Fin.Qtr!U29</f>
        <v>659.42257621680301</v>
      </c>
      <c r="U25" s="37">
        <f ca="1">Fin.Qtr!V29</f>
        <v>640.04274836026775</v>
      </c>
      <c r="X25" s="29"/>
      <c r="AC25" s="30"/>
      <c r="AE25" s="29"/>
      <c r="AJ25" s="30"/>
    </row>
    <row r="26" spans="2:43" x14ac:dyDescent="0.55000000000000004">
      <c r="B26" s="32" t="s">
        <v>147</v>
      </c>
      <c r="C26" s="32"/>
      <c r="D26" s="32"/>
      <c r="E26" s="37">
        <f ca="1">Ctrl!H24</f>
        <v>1500</v>
      </c>
      <c r="G26" s="32" t="str">
        <f>Fin.Qtr!B30</f>
        <v>ARR</v>
      </c>
      <c r="H26" s="32"/>
      <c r="I26" s="32"/>
      <c r="J26" s="32"/>
      <c r="K26" s="37">
        <f ca="1">Fin.Qtr!L30</f>
        <v>2681.7468749999998</v>
      </c>
      <c r="L26" s="37">
        <f ca="1">Fin.Qtr!M30</f>
        <v>2757.1137215343751</v>
      </c>
      <c r="M26" s="37">
        <f ca="1">Fin.Qtr!N30</f>
        <v>2867.37518756997</v>
      </c>
      <c r="N26" s="37">
        <f ca="1">Fin.Qtr!O30</f>
        <v>3199.3266121460347</v>
      </c>
      <c r="O26" s="37">
        <f ca="1">Fin.Qtr!P30</f>
        <v>2230.6736840367048</v>
      </c>
      <c r="P26" s="37">
        <f ca="1">Fin.Qtr!Q30</f>
        <v>2351.8351592048944</v>
      </c>
      <c r="Q26" s="37">
        <f ca="1">Fin.Qtr!R30</f>
        <v>2646.7927594035532</v>
      </c>
      <c r="R26" s="37">
        <f ca="1">Fin.Qtr!S30</f>
        <v>2999.7355308861597</v>
      </c>
      <c r="T26" s="37">
        <f ca="1">Fin.Qtr!U30</f>
        <v>2876.3905990625949</v>
      </c>
      <c r="U26" s="37">
        <f ca="1">Fin.Qtr!V30</f>
        <v>2557.2592833828285</v>
      </c>
      <c r="X26" s="51"/>
      <c r="Y26" s="52"/>
      <c r="Z26" s="52"/>
      <c r="AA26" s="52"/>
      <c r="AB26" s="52"/>
      <c r="AC26" s="53"/>
      <c r="AE26" s="51"/>
      <c r="AF26" s="52"/>
      <c r="AG26" s="52"/>
      <c r="AH26" s="52"/>
      <c r="AI26" s="52"/>
      <c r="AJ26" s="53"/>
    </row>
    <row r="27" spans="2:43" x14ac:dyDescent="0.55000000000000004">
      <c r="B27" s="32" t="s">
        <v>200</v>
      </c>
      <c r="C27" s="32"/>
      <c r="D27" s="32"/>
      <c r="E27" s="37">
        <f ca="1">Ctrl!H26*(E17/E19)</f>
        <v>0</v>
      </c>
      <c r="G27" s="34" t="s">
        <v>119</v>
      </c>
      <c r="H27" s="35"/>
      <c r="I27" s="35"/>
      <c r="J27" s="35"/>
      <c r="K27" s="36"/>
      <c r="L27" s="36"/>
      <c r="M27" s="36"/>
      <c r="N27" s="36"/>
      <c r="O27" s="36"/>
      <c r="P27" s="36"/>
      <c r="Q27" s="36"/>
      <c r="R27" s="36"/>
      <c r="T27" s="36"/>
      <c r="U27" s="36"/>
    </row>
    <row r="28" spans="2:43" x14ac:dyDescent="0.55000000000000004">
      <c r="B28" s="40" t="s">
        <v>148</v>
      </c>
      <c r="C28" s="40"/>
      <c r="D28" s="40"/>
      <c r="E28" s="42">
        <f ca="1">SUM(E25:E27)</f>
        <v>3259.9200858489485</v>
      </c>
      <c r="G28" s="32" t="str">
        <f>Fin.Qtr!B33</f>
        <v>CAC Payback (Monthly)</v>
      </c>
      <c r="H28" s="32"/>
      <c r="I28" s="32"/>
      <c r="J28" s="32"/>
      <c r="K28" s="54"/>
      <c r="L28" s="45">
        <f ca="1">Fin.Qtr!M33</f>
        <v>7.9432271142408206</v>
      </c>
      <c r="M28" s="45">
        <f ca="1">Fin.Qtr!N33</f>
        <v>7.8733973671253148</v>
      </c>
      <c r="N28" s="45">
        <f ca="1">Fin.Qtr!O33</f>
        <v>7.8658392693346562</v>
      </c>
      <c r="O28" s="45">
        <f ca="1">Fin.Qtr!P33</f>
        <v>7.6802093569788665</v>
      </c>
      <c r="P28" s="45">
        <f ca="1">Fin.Qtr!Q33</f>
        <v>7.7217483583440272</v>
      </c>
      <c r="Q28" s="45">
        <f ca="1">Fin.Qtr!R33</f>
        <v>7.7293888414982801</v>
      </c>
      <c r="R28" s="45">
        <f ca="1">Fin.Qtr!S33</f>
        <v>7.7386804321453013</v>
      </c>
      <c r="T28" s="45">
        <f ca="1">Fin.Qtr!U33</f>
        <v>7.8941545835669302</v>
      </c>
      <c r="U28" s="45">
        <f ca="1">Fin.Qtr!V33</f>
        <v>7.717506747241619</v>
      </c>
      <c r="X28" s="20" t="s">
        <v>153</v>
      </c>
      <c r="Y28" s="21"/>
      <c r="Z28" s="21"/>
      <c r="AA28" s="21"/>
      <c r="AB28" s="21"/>
      <c r="AC28" s="22"/>
      <c r="AE28" s="20" t="s">
        <v>154</v>
      </c>
      <c r="AF28" s="21"/>
      <c r="AG28" s="21"/>
      <c r="AH28" s="21"/>
      <c r="AI28" s="21"/>
      <c r="AJ28" s="22"/>
      <c r="AL28" s="55" t="s">
        <v>239</v>
      </c>
      <c r="AO28" s="56" t="s">
        <v>210</v>
      </c>
      <c r="AP28" s="57">
        <f>AQ13</f>
        <v>2999.7355308861597</v>
      </c>
    </row>
    <row r="29" spans="2:43" x14ac:dyDescent="0.55000000000000004">
      <c r="B29" s="32"/>
      <c r="C29" s="32"/>
      <c r="D29" s="32"/>
      <c r="E29" s="32"/>
      <c r="G29" s="32" t="str">
        <f>Fin.Qtr!B34</f>
        <v>CAC Payback (Annual)</v>
      </c>
      <c r="H29" s="32"/>
      <c r="I29" s="32"/>
      <c r="J29" s="32"/>
      <c r="K29" s="54"/>
      <c r="L29" s="45">
        <f ca="1">Fin.Qtr!M34</f>
        <v>0.7221115558400748</v>
      </c>
      <c r="M29" s="45">
        <f ca="1">Fin.Qtr!N34</f>
        <v>0.71576339701139224</v>
      </c>
      <c r="N29" s="45">
        <f ca="1">Fin.Qtr!O34</f>
        <v>0.71507629721224142</v>
      </c>
      <c r="O29" s="45">
        <f ca="1">Fin.Qtr!P34</f>
        <v>0.69820085063444248</v>
      </c>
      <c r="P29" s="45">
        <f ca="1">Fin.Qtr!Q34</f>
        <v>0.70197712348582053</v>
      </c>
      <c r="Q29" s="45">
        <f ca="1">Fin.Qtr!R34</f>
        <v>0.70267171286348018</v>
      </c>
      <c r="R29" s="45">
        <f ca="1">Fin.Qtr!S34</f>
        <v>0.70351640292230011</v>
      </c>
      <c r="T29" s="45">
        <f ca="1">Fin.Qtr!U34</f>
        <v>0.71765041668790275</v>
      </c>
      <c r="U29" s="45">
        <f ca="1">Fin.Qtr!V34</f>
        <v>0.7015915224765108</v>
      </c>
      <c r="X29" s="29"/>
      <c r="AC29" s="30"/>
      <c r="AE29" s="29"/>
      <c r="AJ29" s="30"/>
      <c r="AL29" s="23" t="s">
        <v>242</v>
      </c>
      <c r="AM29" s="23"/>
      <c r="AN29" s="24" t="s">
        <v>243</v>
      </c>
      <c r="AO29" s="58" t="s">
        <v>244</v>
      </c>
      <c r="AP29" s="24" t="s">
        <v>243</v>
      </c>
      <c r="AQ29" s="24" t="s">
        <v>244</v>
      </c>
    </row>
    <row r="30" spans="2:43" x14ac:dyDescent="0.55000000000000004">
      <c r="B30" s="59"/>
      <c r="C30" s="59"/>
      <c r="D30" s="59"/>
      <c r="E30" s="59"/>
      <c r="G30" s="32" t="str">
        <f>Fin.Qtr!B35</f>
        <v>GDR (Monthly)</v>
      </c>
      <c r="H30" s="32"/>
      <c r="I30" s="32"/>
      <c r="J30" s="32"/>
      <c r="K30" s="54"/>
      <c r="L30" s="60">
        <f ca="1">Fin.Qtr!M35</f>
        <v>0.75</v>
      </c>
      <c r="M30" s="60">
        <f ca="1">Fin.Qtr!N35</f>
        <v>0.75</v>
      </c>
      <c r="N30" s="60">
        <f ca="1">Fin.Qtr!O35</f>
        <v>0.75</v>
      </c>
      <c r="O30" s="60">
        <f ca="1">Fin.Qtr!P35</f>
        <v>0.75</v>
      </c>
      <c r="P30" s="60">
        <f ca="1">Fin.Qtr!Q35</f>
        <v>0.75</v>
      </c>
      <c r="Q30" s="60">
        <f ca="1">Fin.Qtr!R35</f>
        <v>0.75</v>
      </c>
      <c r="R30" s="60">
        <f ca="1">Fin.Qtr!S35</f>
        <v>0.75</v>
      </c>
      <c r="T30" s="60">
        <f ca="1">Fin.Qtr!U35</f>
        <v>0.75</v>
      </c>
      <c r="U30" s="60">
        <f ca="1">Fin.Qtr!V35</f>
        <v>0.75</v>
      </c>
      <c r="X30" s="29"/>
      <c r="AC30" s="30"/>
      <c r="AE30" s="29"/>
      <c r="AJ30" s="30"/>
      <c r="AL30" t="s">
        <v>245</v>
      </c>
      <c r="AN30" s="19">
        <v>9</v>
      </c>
      <c r="AO30" s="61">
        <v>8</v>
      </c>
      <c r="AP30" s="62">
        <f>SUMIF(Ctrl!$I$11:$W$11,AN30,Ctrl!$I$20:$W$20)-$AP$28</f>
        <v>-299.97355308861461</v>
      </c>
      <c r="AQ30" s="62">
        <f>SUMIF(Ctrl!$I$11:$W$11,AO30,Ctrl!$I$20:$W$20)-$AP$28</f>
        <v>299.97355308861597</v>
      </c>
    </row>
    <row r="31" spans="2:43" x14ac:dyDescent="0.55000000000000004">
      <c r="B31" s="59"/>
      <c r="C31" s="59"/>
      <c r="D31" s="59"/>
      <c r="E31" s="59"/>
      <c r="G31" s="32" t="str">
        <f>Fin.Qtr!B36</f>
        <v>GDR (Annual)</v>
      </c>
      <c r="H31" s="32"/>
      <c r="I31" s="32"/>
      <c r="J31" s="32"/>
      <c r="K31" s="54"/>
      <c r="L31" s="60">
        <f ca="1">Fin.Qtr!M36</f>
        <v>1</v>
      </c>
      <c r="M31" s="60">
        <f ca="1">Fin.Qtr!N36</f>
        <v>1</v>
      </c>
      <c r="N31" s="60">
        <f ca="1">Fin.Qtr!O36</f>
        <v>1</v>
      </c>
      <c r="O31" s="60">
        <f ca="1">Fin.Qtr!P36</f>
        <v>0.93586809207975652</v>
      </c>
      <c r="P31" s="60">
        <f ca="1">Fin.Qtr!Q36</f>
        <v>0.9867309186527673</v>
      </c>
      <c r="Q31" s="60">
        <f ca="1">Fin.Qtr!R36</f>
        <v>0.98621813696893135</v>
      </c>
      <c r="R31" s="60">
        <f ca="1">Fin.Qtr!S36</f>
        <v>0.98566412443877527</v>
      </c>
      <c r="T31" s="60">
        <f ca="1">Fin.Qtr!U36</f>
        <v>1</v>
      </c>
      <c r="U31" s="60">
        <f ca="1">Fin.Qtr!V36</f>
        <v>0.97362031803505755</v>
      </c>
      <c r="X31" s="29"/>
      <c r="AC31" s="30"/>
      <c r="AE31" s="29"/>
      <c r="AJ31" s="30"/>
      <c r="AL31" t="s">
        <v>16</v>
      </c>
      <c r="AN31" s="19">
        <v>11</v>
      </c>
      <c r="AO31" s="61">
        <v>10</v>
      </c>
      <c r="AP31" s="62">
        <f>SUMIF(Ctrl!$I$11:$W$11,AN31,Ctrl!$I$20:$W$20)-$AP$28</f>
        <v>-229.49097955828074</v>
      </c>
      <c r="AQ31" s="62">
        <f>SUMIF(Ctrl!$I$11:$W$11,AO31,Ctrl!$I$20:$W$20)-$AP$28</f>
        <v>647.66966587041816</v>
      </c>
    </row>
    <row r="32" spans="2:43" x14ac:dyDescent="0.55000000000000004">
      <c r="B32" s="59"/>
      <c r="C32" s="59"/>
      <c r="D32" s="59"/>
      <c r="E32" s="63"/>
      <c r="G32" s="32"/>
      <c r="H32" s="32"/>
      <c r="I32" s="32"/>
      <c r="J32" s="32"/>
      <c r="K32" s="37"/>
      <c r="L32" s="37"/>
      <c r="M32" s="37"/>
      <c r="N32" s="37"/>
      <c r="O32" s="37"/>
      <c r="P32" s="37"/>
      <c r="Q32" s="37"/>
      <c r="R32" s="37"/>
      <c r="T32" s="37"/>
      <c r="U32" s="37"/>
      <c r="X32" s="29"/>
      <c r="AC32" s="30"/>
      <c r="AE32" s="29"/>
      <c r="AJ32" s="30"/>
      <c r="AL32" t="s">
        <v>246</v>
      </c>
      <c r="AN32" s="19">
        <v>13</v>
      </c>
      <c r="AO32" s="61">
        <v>12</v>
      </c>
      <c r="AP32" s="62">
        <f>SUMIF(Ctrl!$I$11:$W$11,AN32,Ctrl!$I$20:$W$20)-$AP$28</f>
        <v>-576.28045075870205</v>
      </c>
      <c r="AQ32" s="62">
        <f>SUMIF(Ctrl!$I$11:$W$11,AO32,Ctrl!$I$20:$W$20)-$AP$28</f>
        <v>674.21316713973329</v>
      </c>
    </row>
    <row r="33" spans="2:43" x14ac:dyDescent="0.55000000000000004">
      <c r="B33" s="59"/>
      <c r="C33" s="59"/>
      <c r="D33" s="59"/>
      <c r="E33" s="59"/>
      <c r="G33" s="32" t="s">
        <v>136</v>
      </c>
      <c r="H33" s="32"/>
      <c r="I33" s="32"/>
      <c r="J33" s="32"/>
      <c r="K33" s="54"/>
      <c r="L33" s="37">
        <f ca="1">Fin.Qtr!M38</f>
        <v>10.333333333333334</v>
      </c>
      <c r="M33" s="37">
        <f ca="1">Fin.Qtr!N38</f>
        <v>11.333333333333334</v>
      </c>
      <c r="N33" s="37">
        <f ca="1">Fin.Qtr!O38</f>
        <v>13</v>
      </c>
      <c r="O33" s="37">
        <f ca="1">Fin.Qtr!P38</f>
        <v>13</v>
      </c>
      <c r="P33" s="37">
        <f ca="1">Fin.Qtr!Q38</f>
        <v>15</v>
      </c>
      <c r="Q33" s="37">
        <f ca="1">Fin.Qtr!R38</f>
        <v>16.666666666666668</v>
      </c>
      <c r="R33" s="37">
        <f ca="1">Fin.Qtr!S38</f>
        <v>18.666666666666668</v>
      </c>
      <c r="T33" s="37">
        <f ca="1">Fin.Qtr!U38</f>
        <v>10.5</v>
      </c>
      <c r="U33" s="37">
        <f ca="1">Fin.Qtr!V38</f>
        <v>15.833333333333336</v>
      </c>
      <c r="X33" s="29"/>
      <c r="AC33" s="30"/>
      <c r="AE33" s="29"/>
      <c r="AJ33" s="30"/>
      <c r="AL33" t="s">
        <v>161</v>
      </c>
      <c r="AN33" s="19">
        <v>15</v>
      </c>
      <c r="AO33" s="61">
        <v>14</v>
      </c>
      <c r="AP33" s="62">
        <f>SUMIF(Ctrl!$I$11:$W$11,AN33,Ctrl!$I$20:$W$20)-$AP$28</f>
        <v>-299.97355308861597</v>
      </c>
      <c r="AQ33" s="62">
        <f>SUMIF(Ctrl!$I$11:$W$11,AO33,Ctrl!$I$20:$W$20)-$AP$28</f>
        <v>299.97355308861734</v>
      </c>
    </row>
    <row r="34" spans="2:43" x14ac:dyDescent="0.55000000000000004">
      <c r="B34" s="59"/>
      <c r="C34" s="59"/>
      <c r="D34" s="59"/>
      <c r="E34" s="59"/>
      <c r="G34" s="32" t="s">
        <v>225</v>
      </c>
      <c r="H34" s="32"/>
      <c r="I34" s="32"/>
      <c r="J34" s="32"/>
      <c r="K34" s="54"/>
      <c r="L34" s="45">
        <f t="shared" ref="L34:R34" ca="1" si="0">L24/L33</f>
        <v>68.710546783442524</v>
      </c>
      <c r="M34" s="45">
        <f t="shared" ca="1" si="0"/>
        <v>51.591573990966111</v>
      </c>
      <c r="N34" s="45">
        <f t="shared" ca="1" si="0"/>
        <v>47.94759661707009</v>
      </c>
      <c r="O34" s="45">
        <f t="shared" ca="1" si="0"/>
        <v>51.541387254988507</v>
      </c>
      <c r="P34" s="45">
        <f t="shared" ca="1" si="0"/>
        <v>46.217336501129289</v>
      </c>
      <c r="Q34" s="45">
        <f t="shared" ca="1" si="0"/>
        <v>47.698072453500451</v>
      </c>
      <c r="R34" s="45">
        <f t="shared" ca="1" si="0"/>
        <v>49.513322291035294</v>
      </c>
      <c r="T34" s="64">
        <f ca="1">AVERAGE(L34:O34)</f>
        <v>54.947776161616808</v>
      </c>
      <c r="U34" s="64">
        <f ca="1">AVERAGE(O34:R34)</f>
        <v>48.742529625163385</v>
      </c>
      <c r="X34" s="29"/>
      <c r="AC34" s="30"/>
      <c r="AE34" s="29"/>
      <c r="AJ34" s="30"/>
      <c r="AN34" s="19"/>
      <c r="AO34" s="19"/>
      <c r="AP34" s="19"/>
      <c r="AQ34" s="19"/>
    </row>
    <row r="35" spans="2:43" x14ac:dyDescent="0.55000000000000004">
      <c r="B35" s="59"/>
      <c r="C35" s="59"/>
      <c r="D35" s="59"/>
      <c r="E35" s="63"/>
      <c r="G35" s="32" t="s">
        <v>226</v>
      </c>
      <c r="H35" s="32"/>
      <c r="I35" s="32"/>
      <c r="J35" s="32"/>
      <c r="K35" s="54"/>
      <c r="L35" s="64">
        <f ca="1">-L24/L46</f>
        <v>1.714997544514266</v>
      </c>
      <c r="M35" s="64">
        <f t="shared" ref="M35:R35" ca="1" si="1">-M24/M46</f>
        <v>1.2554041980267294</v>
      </c>
      <c r="N35" s="64">
        <f t="shared" ca="1" si="1"/>
        <v>1.1088713371200298</v>
      </c>
      <c r="O35" s="64">
        <f t="shared" ca="1" si="1"/>
        <v>1.1180997293598833</v>
      </c>
      <c r="P35" s="64">
        <f t="shared" ca="1" si="1"/>
        <v>1.0012204350237057</v>
      </c>
      <c r="Q35" s="64">
        <f t="shared" ca="1" si="1"/>
        <v>1.0241132035104767</v>
      </c>
      <c r="R35" s="64">
        <f t="shared" ca="1" si="1"/>
        <v>1.0630879718955513</v>
      </c>
      <c r="T35" s="64">
        <f t="shared" ref="T35:T36" ca="1" si="2">AVERAGE(L35:O35)</f>
        <v>1.2993432022552271</v>
      </c>
      <c r="U35" s="64">
        <f t="shared" ref="U35:U36" ca="1" si="3">AVERAGE(O35:R35)</f>
        <v>1.0516303349474043</v>
      </c>
      <c r="X35" s="29"/>
      <c r="AC35" s="30"/>
      <c r="AE35" s="29"/>
      <c r="AJ35" s="30"/>
      <c r="AN35" s="19"/>
      <c r="AO35" s="19"/>
      <c r="AP35" s="19"/>
      <c r="AQ35" s="19"/>
    </row>
    <row r="36" spans="2:43" x14ac:dyDescent="0.55000000000000004">
      <c r="B36" s="59"/>
      <c r="C36" s="59"/>
      <c r="D36" s="59"/>
      <c r="E36" s="59"/>
      <c r="G36" s="32" t="s">
        <v>224</v>
      </c>
      <c r="H36" s="32"/>
      <c r="I36" s="32"/>
      <c r="J36" s="32"/>
      <c r="K36" s="54"/>
      <c r="L36" s="64">
        <f ca="1">-L24/L48</f>
        <v>1.7758594491559341</v>
      </c>
      <c r="M36" s="64">
        <f t="shared" ref="M36:R36" ca="1" si="4">-M24/M48</f>
        <v>1.535948203238434</v>
      </c>
      <c r="N36" s="64">
        <f t="shared" ca="1" si="4"/>
        <v>1.5608559612717399</v>
      </c>
      <c r="O36" s="64">
        <f t="shared" ca="1" si="4"/>
        <v>1.6110056639562291</v>
      </c>
      <c r="P36" s="64">
        <f t="shared" ca="1" si="4"/>
        <v>1.598580918505371</v>
      </c>
      <c r="Q36" s="64">
        <f t="shared" ca="1" si="4"/>
        <v>1.5991079266989894</v>
      </c>
      <c r="R36" s="64">
        <f t="shared" ca="1" si="4"/>
        <v>1.602727053891529</v>
      </c>
      <c r="T36" s="64">
        <f t="shared" ca="1" si="2"/>
        <v>1.6209173194055841</v>
      </c>
      <c r="U36" s="64">
        <f t="shared" ca="1" si="3"/>
        <v>1.6028553907630296</v>
      </c>
      <c r="X36" s="29"/>
      <c r="AC36" s="30"/>
      <c r="AE36" s="29"/>
      <c r="AJ36" s="30"/>
      <c r="AN36" s="19"/>
      <c r="AO36" s="19"/>
      <c r="AP36" s="19"/>
      <c r="AQ36" s="19"/>
    </row>
    <row r="37" spans="2:43" x14ac:dyDescent="0.55000000000000004">
      <c r="B37" s="59"/>
      <c r="C37" s="59"/>
      <c r="D37" s="59"/>
      <c r="E37" s="59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T37" s="32"/>
      <c r="U37" s="32"/>
      <c r="X37" s="29"/>
      <c r="AC37" s="30"/>
      <c r="AE37" s="29"/>
      <c r="AJ37" s="30"/>
    </row>
    <row r="38" spans="2:43" x14ac:dyDescent="0.55000000000000004">
      <c r="B38" s="59"/>
      <c r="C38" s="59"/>
      <c r="D38" s="59"/>
      <c r="E38" s="59"/>
      <c r="G38" s="15" t="s">
        <v>126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T38" s="16"/>
      <c r="U38" s="16"/>
      <c r="X38" s="29"/>
      <c r="AC38" s="30"/>
      <c r="AE38" s="29"/>
      <c r="AJ38" s="30"/>
    </row>
    <row r="39" spans="2:43" x14ac:dyDescent="0.55000000000000004">
      <c r="B39" s="59"/>
      <c r="C39" s="59"/>
      <c r="D39" s="59"/>
      <c r="E39" s="59"/>
      <c r="G39" s="32" t="s">
        <v>90</v>
      </c>
      <c r="H39" s="32"/>
      <c r="I39" s="32"/>
      <c r="J39" s="32"/>
      <c r="K39" s="37">
        <f ca="1">Fin.Qtr!L42</f>
        <v>225.32203125000001</v>
      </c>
      <c r="L39" s="37">
        <f ca="1">Fin.Qtr!M42</f>
        <v>247.79945900390624</v>
      </c>
      <c r="M39" s="37">
        <f ca="1">Fin.Qtr!N42</f>
        <v>152.17984276077391</v>
      </c>
      <c r="N39" s="37">
        <f ca="1">Fin.Qtr!O42</f>
        <v>93.457445935460271</v>
      </c>
      <c r="O39" s="37">
        <f ca="1">Fin.Qtr!P42</f>
        <v>57.394553985114555</v>
      </c>
      <c r="P39" s="37">
        <f ca="1">Fin.Qtr!Q42</f>
        <v>35.247430466108469</v>
      </c>
      <c r="Q39" s="37">
        <f ca="1">Fin.Qtr!R42</f>
        <v>21.646328234998869</v>
      </c>
      <c r="R39" s="37">
        <f ca="1">Fin.Qtr!S42</f>
        <v>13.293551327318681</v>
      </c>
      <c r="S39" s="31"/>
      <c r="T39" s="37">
        <f ca="1">Fin.Qtr!U42</f>
        <v>718.75877895014037</v>
      </c>
      <c r="U39" s="37">
        <f ca="1">Fin.Qtr!V42</f>
        <v>127.58186401354058</v>
      </c>
      <c r="X39" s="29"/>
      <c r="AC39" s="30"/>
      <c r="AE39" s="29"/>
      <c r="AJ39" s="30"/>
    </row>
    <row r="40" spans="2:43" x14ac:dyDescent="0.55000000000000004">
      <c r="B40" s="59"/>
      <c r="C40" s="59"/>
      <c r="D40" s="59"/>
      <c r="E40" s="59"/>
      <c r="G40" s="32" t="s">
        <v>91</v>
      </c>
      <c r="H40" s="32"/>
      <c r="I40" s="32"/>
      <c r="J40" s="32"/>
      <c r="K40" s="37">
        <f ca="1">Fin.Qtr!L43</f>
        <v>243.29250000000002</v>
      </c>
      <c r="L40" s="37">
        <f ca="1">Fin.Qtr!M43</f>
        <v>449.74260849375003</v>
      </c>
      <c r="M40" s="37">
        <f ca="1">Fin.Qtr!N43</f>
        <v>550.95403433700903</v>
      </c>
      <c r="N40" s="37">
        <f ca="1">Fin.Qtr!O43</f>
        <v>674.94238308631247</v>
      </c>
      <c r="O40" s="37">
        <f ca="1">Fin.Qtr!P43</f>
        <v>579.6747874438305</v>
      </c>
      <c r="P40" s="37">
        <f ca="1">Fin.Qtr!Q43</f>
        <v>532.3689317361775</v>
      </c>
      <c r="Q40" s="37">
        <f ca="1">Fin.Qtr!R43</f>
        <v>614.32892527474178</v>
      </c>
      <c r="R40" s="37">
        <f ca="1">Fin.Qtr!S43</f>
        <v>706.21648497278102</v>
      </c>
      <c r="S40" s="31"/>
      <c r="T40" s="37">
        <f ca="1">Fin.Qtr!U43</f>
        <v>1918.9315259170717</v>
      </c>
      <c r="U40" s="37">
        <f ca="1">Fin.Qtr!V43</f>
        <v>2432.5891294275307</v>
      </c>
      <c r="X40" s="29"/>
      <c r="AC40" s="30"/>
      <c r="AE40" s="29"/>
      <c r="AJ40" s="30"/>
    </row>
    <row r="41" spans="2:43" x14ac:dyDescent="0.55000000000000004">
      <c r="B41" s="59"/>
      <c r="C41" s="59"/>
      <c r="D41" s="59"/>
      <c r="E41" s="59"/>
      <c r="G41" s="40" t="s">
        <v>132</v>
      </c>
      <c r="H41" s="41"/>
      <c r="I41" s="41"/>
      <c r="J41" s="41"/>
      <c r="K41" s="42">
        <f ca="1">Fin.Qtr!L44</f>
        <v>468.61453125000003</v>
      </c>
      <c r="L41" s="42">
        <f ca="1">Fin.Qtr!M44</f>
        <v>697.54206749765626</v>
      </c>
      <c r="M41" s="42">
        <f ca="1">Fin.Qtr!N44</f>
        <v>703.13387709778294</v>
      </c>
      <c r="N41" s="42">
        <f ca="1">Fin.Qtr!O44</f>
        <v>768.3998290217728</v>
      </c>
      <c r="O41" s="42">
        <f ca="1">Fin.Qtr!P44</f>
        <v>637.06934142894499</v>
      </c>
      <c r="P41" s="42">
        <f ca="1">Fin.Qtr!Q44</f>
        <v>567.61636220228593</v>
      </c>
      <c r="Q41" s="42">
        <f ca="1">Fin.Qtr!R44</f>
        <v>635.97525350974058</v>
      </c>
      <c r="R41" s="42">
        <f ca="1">Fin.Qtr!S44</f>
        <v>719.51003630009961</v>
      </c>
      <c r="T41" s="42">
        <f ca="1">Fin.Qtr!U44</f>
        <v>2637.690304867212</v>
      </c>
      <c r="U41" s="42">
        <f ca="1">Fin.Qtr!V44</f>
        <v>2560.170993441071</v>
      </c>
      <c r="X41" s="29"/>
      <c r="AC41" s="30"/>
      <c r="AE41" s="29"/>
      <c r="AJ41" s="30"/>
    </row>
    <row r="42" spans="2:43" x14ac:dyDescent="0.55000000000000004">
      <c r="B42" s="59"/>
      <c r="C42" s="59"/>
      <c r="D42" s="59"/>
      <c r="E42" s="59"/>
      <c r="G42" s="48" t="s">
        <v>74</v>
      </c>
      <c r="H42" s="32"/>
      <c r="I42" s="32"/>
      <c r="J42" s="32"/>
      <c r="K42" s="54"/>
      <c r="L42" s="65">
        <f ca="1">L41/K41-1</f>
        <v>0.48851992625368723</v>
      </c>
      <c r="M42" s="65">
        <f t="shared" ref="M42:U42" ca="1" si="5">M41/L41-1</f>
        <v>8.016447839750418E-3</v>
      </c>
      <c r="N42" s="65">
        <f t="shared" ca="1" si="5"/>
        <v>9.2821515290058443E-2</v>
      </c>
      <c r="O42" s="65">
        <f t="shared" ca="1" si="5"/>
        <v>-0.17091425926007919</v>
      </c>
      <c r="P42" s="65">
        <f t="shared" ca="1" si="5"/>
        <v>-0.1090194971098063</v>
      </c>
      <c r="Q42" s="65">
        <f t="shared" ca="1" si="5"/>
        <v>0.12043150243631118</v>
      </c>
      <c r="R42" s="65">
        <f t="shared" ca="1" si="5"/>
        <v>0.1313491088361658</v>
      </c>
      <c r="T42" s="54"/>
      <c r="U42" s="65">
        <f t="shared" ca="1" si="5"/>
        <v>-2.9389087598001185E-2</v>
      </c>
      <c r="X42" s="51"/>
      <c r="Y42" s="52"/>
      <c r="Z42" s="52"/>
      <c r="AA42" s="52"/>
      <c r="AB42" s="52"/>
      <c r="AC42" s="53"/>
      <c r="AE42" s="51"/>
      <c r="AF42" s="52"/>
      <c r="AG42" s="52"/>
      <c r="AH42" s="52"/>
      <c r="AI42" s="52"/>
      <c r="AJ42" s="53"/>
    </row>
    <row r="43" spans="2:43" x14ac:dyDescent="0.55000000000000004">
      <c r="B43" s="59"/>
      <c r="C43" s="59"/>
      <c r="D43" s="59"/>
      <c r="E43" s="59"/>
      <c r="G43" s="40" t="s">
        <v>95</v>
      </c>
      <c r="H43" s="41"/>
      <c r="I43" s="41"/>
      <c r="J43" s="41"/>
      <c r="K43" s="42">
        <f ca="1">Fin.Qtr!L46</f>
        <v>344.97770625000004</v>
      </c>
      <c r="L43" s="42">
        <f ca="1">Fin.Qtr!M46</f>
        <v>585.43666006078126</v>
      </c>
      <c r="M43" s="42">
        <f ca="1">Fin.Qtr!N46</f>
        <v>595.36963163681094</v>
      </c>
      <c r="N43" s="42">
        <f ca="1">Fin.Qtr!O46</f>
        <v>651.25909929828367</v>
      </c>
      <c r="O43" s="42">
        <f ca="1">Fin.Qtr!P46</f>
        <v>553.26126625660504</v>
      </c>
      <c r="P43" s="42">
        <f ca="1">Fin.Qtr!Q46</f>
        <v>490.05692455654923</v>
      </c>
      <c r="Q43" s="42">
        <f ca="1">Fin.Qtr!R46</f>
        <v>548.52869193201627</v>
      </c>
      <c r="R43" s="42">
        <f ca="1">Fin.Qtr!S46</f>
        <v>619.83157218710994</v>
      </c>
      <c r="T43" s="42">
        <f ca="1">Fin.Qtr!U46</f>
        <v>2177.0430972458762</v>
      </c>
      <c r="U43" s="42">
        <f ca="1">Fin.Qtr!V46</f>
        <v>2211.6784549322801</v>
      </c>
    </row>
    <row r="44" spans="2:43" x14ac:dyDescent="0.55000000000000004">
      <c r="B44" s="59"/>
      <c r="C44" s="59"/>
      <c r="D44" s="59"/>
      <c r="E44" s="59"/>
      <c r="G44" s="48" t="s">
        <v>96</v>
      </c>
      <c r="H44" s="32"/>
      <c r="I44" s="32"/>
      <c r="J44" s="32"/>
      <c r="K44" s="65">
        <f ca="1">K43/K41</f>
        <v>0.73616519174041306</v>
      </c>
      <c r="L44" s="65">
        <f t="shared" ref="L44:R44" ca="1" si="6">L43/L41</f>
        <v>0.83928509453338218</v>
      </c>
      <c r="M44" s="65">
        <f t="shared" ca="1" si="6"/>
        <v>0.84673723031839421</v>
      </c>
      <c r="N44" s="65">
        <f t="shared" ca="1" si="6"/>
        <v>0.84755237403863359</v>
      </c>
      <c r="O44" s="65">
        <f t="shared" ca="1" si="6"/>
        <v>0.86844748330792587</v>
      </c>
      <c r="P44" s="65">
        <f t="shared" ca="1" si="6"/>
        <v>0.86335940467816141</v>
      </c>
      <c r="Q44" s="65">
        <f t="shared" ca="1" si="6"/>
        <v>0.8625000562598385</v>
      </c>
      <c r="R44" s="65">
        <f t="shared" ca="1" si="6"/>
        <v>0.86146341387319458</v>
      </c>
      <c r="T44" s="65">
        <f t="shared" ref="T44" ca="1" si="7">T43/T41</f>
        <v>0.82535963120032552</v>
      </c>
      <c r="U44" s="65">
        <f t="shared" ref="U44" ca="1" si="8">U43/U41</f>
        <v>0.86387919424069815</v>
      </c>
      <c r="X44" s="20" t="s">
        <v>202</v>
      </c>
      <c r="Y44" s="21"/>
      <c r="Z44" s="21"/>
      <c r="AA44" s="21"/>
      <c r="AB44" s="21"/>
      <c r="AC44" s="22"/>
      <c r="AE44" s="23" t="s">
        <v>241</v>
      </c>
      <c r="AF44" s="24"/>
      <c r="AG44" s="24" t="s">
        <v>207</v>
      </c>
      <c r="AH44" s="24" t="s">
        <v>208</v>
      </c>
      <c r="AI44" s="24" t="s">
        <v>209</v>
      </c>
      <c r="AJ44" s="24" t="s">
        <v>25</v>
      </c>
    </row>
    <row r="45" spans="2:43" x14ac:dyDescent="0.55000000000000004">
      <c r="B45" s="59"/>
      <c r="C45" s="59"/>
      <c r="D45" s="59"/>
      <c r="E45" s="59"/>
      <c r="G45" s="48"/>
      <c r="H45" s="32"/>
      <c r="I45" s="32"/>
      <c r="J45" s="32"/>
      <c r="K45" s="65"/>
      <c r="L45" s="65"/>
      <c r="M45" s="65"/>
      <c r="N45" s="65"/>
      <c r="O45" s="65"/>
      <c r="P45" s="65"/>
      <c r="Q45" s="65"/>
      <c r="R45" s="65"/>
      <c r="T45" s="65"/>
      <c r="U45" s="65"/>
      <c r="X45" s="29"/>
      <c r="AC45" s="30"/>
      <c r="AE45" t="s">
        <v>210</v>
      </c>
      <c r="AI45" s="31">
        <f>AJ45</f>
        <v>2999.7355308861597</v>
      </c>
      <c r="AJ45" s="31">
        <f>Ctrl!I20</f>
        <v>2999.7355308861597</v>
      </c>
    </row>
    <row r="46" spans="2:43" x14ac:dyDescent="0.55000000000000004">
      <c r="B46" s="59"/>
      <c r="C46" s="59"/>
      <c r="D46" s="59"/>
      <c r="E46" s="59"/>
      <c r="G46" s="44" t="str">
        <f>Fin.Qtr!B48</f>
        <v>Headcount Costs</v>
      </c>
      <c r="H46" s="32"/>
      <c r="I46" s="32"/>
      <c r="J46" s="32"/>
      <c r="K46" s="37">
        <f ca="1">Fin.Qtr!L48</f>
        <v>-284.625</v>
      </c>
      <c r="L46" s="37">
        <f ca="1">Fin.Qtr!M48</f>
        <v>-414</v>
      </c>
      <c r="M46" s="37">
        <f ca="1">Fin.Qtr!N48</f>
        <v>-465.75</v>
      </c>
      <c r="N46" s="37">
        <f ca="1">Fin.Qtr!O48</f>
        <v>-562.12</v>
      </c>
      <c r="O46" s="37">
        <f ca="1">Fin.Qtr!P48</f>
        <v>-599.2650000000001</v>
      </c>
      <c r="P46" s="37">
        <f ca="1">Fin.Qtr!Q48</f>
        <v>-692.41500000000019</v>
      </c>
      <c r="Q46" s="37">
        <f ca="1">Fin.Qtr!R48</f>
        <v>-776.25</v>
      </c>
      <c r="R46" s="37">
        <f ca="1">Fin.Qtr!S48</f>
        <v>-869.4</v>
      </c>
      <c r="T46" s="37">
        <f ca="1">Fin.Qtr!U48</f>
        <v>-1726.4949999999999</v>
      </c>
      <c r="U46" s="37">
        <f ca="1">Fin.Qtr!V48</f>
        <v>-2937.3300000000004</v>
      </c>
      <c r="X46" s="29"/>
      <c r="AC46" s="30"/>
      <c r="AE46" t="s">
        <v>211</v>
      </c>
      <c r="AG46" s="31">
        <f>AI45</f>
        <v>2999.7355308861597</v>
      </c>
      <c r="AH46" s="31">
        <f>AJ46-AI45</f>
        <v>460.00490669152941</v>
      </c>
      <c r="AJ46" s="31">
        <f>Ctrl!K20</f>
        <v>3459.7404375776891</v>
      </c>
    </row>
    <row r="47" spans="2:43" x14ac:dyDescent="0.55000000000000004">
      <c r="B47" s="59"/>
      <c r="C47" s="59"/>
      <c r="D47" s="59"/>
      <c r="E47" s="59"/>
      <c r="G47" s="44" t="str">
        <f>Fin.Qtr!B49</f>
        <v>G&amp;A</v>
      </c>
      <c r="H47" s="32"/>
      <c r="I47" s="32"/>
      <c r="J47" s="32"/>
      <c r="K47" s="37">
        <f ca="1">Fin.Qtr!L49</f>
        <v>-61.400000000000006</v>
      </c>
      <c r="L47" s="37">
        <f ca="1">Fin.Qtr!M49</f>
        <v>-65.698000000000008</v>
      </c>
      <c r="M47" s="37">
        <f ca="1">Fin.Qtr!N49</f>
        <v>-70.296860000000009</v>
      </c>
      <c r="N47" s="37">
        <f ca="1">Fin.Qtr!O49</f>
        <v>-75.217640200000019</v>
      </c>
      <c r="O47" s="37">
        <f ca="1">Fin.Qtr!P49</f>
        <v>-80.48287501400003</v>
      </c>
      <c r="P47" s="37">
        <f ca="1">Fin.Qtr!Q49</f>
        <v>-86.116676264980043</v>
      </c>
      <c r="Q47" s="37">
        <f ca="1">Fin.Qtr!R49</f>
        <v>-92.144843603528656</v>
      </c>
      <c r="R47" s="37">
        <f ca="1">Fin.Qtr!S49</f>
        <v>-98.594982655775681</v>
      </c>
      <c r="T47" s="37">
        <f ca="1">Fin.Qtr!U49</f>
        <v>-272.61250020000006</v>
      </c>
      <c r="U47" s="37">
        <f ca="1">Fin.Qtr!V49</f>
        <v>-357.33937753828445</v>
      </c>
      <c r="X47" s="29"/>
      <c r="AC47" s="30"/>
      <c r="AE47" t="s">
        <v>212</v>
      </c>
      <c r="AG47" s="31">
        <f>AJ46</f>
        <v>3459.7404375776891</v>
      </c>
      <c r="AH47" s="31">
        <f>AJ47-AG47</f>
        <v>187.66475917888874</v>
      </c>
      <c r="AJ47" s="31">
        <f>Ctrl!L20</f>
        <v>3647.4051967565779</v>
      </c>
    </row>
    <row r="48" spans="2:43" x14ac:dyDescent="0.55000000000000004">
      <c r="B48" s="59"/>
      <c r="C48" s="59"/>
      <c r="D48" s="59"/>
      <c r="E48" s="59"/>
      <c r="G48" s="44" t="str">
        <f>Fin.Qtr!B50</f>
        <v>S&amp;M</v>
      </c>
      <c r="H48" s="32"/>
      <c r="I48" s="32"/>
      <c r="J48" s="32"/>
      <c r="K48" s="37">
        <f ca="1">Fin.Qtr!L50</f>
        <v>-1966.0000000000002</v>
      </c>
      <c r="L48" s="37">
        <f ca="1">Fin.Qtr!M50</f>
        <v>-399.8114736875001</v>
      </c>
      <c r="M48" s="37">
        <f ca="1">Fin.Qtr!N50</f>
        <v>-380.67983282127796</v>
      </c>
      <c r="N48" s="37">
        <f ca="1">Fin.Qtr!O50</f>
        <v>-399.34418773276764</v>
      </c>
      <c r="O48" s="37">
        <f ca="1">Fin.Qtr!P50</f>
        <v>-415.91289795307353</v>
      </c>
      <c r="P48" s="37">
        <f ca="1">Fin.Qtr!Q50</f>
        <v>-433.67216478795353</v>
      </c>
      <c r="Q48" s="37">
        <f ca="1">Fin.Qtr!R50</f>
        <v>-497.13209530894255</v>
      </c>
      <c r="R48" s="37">
        <f ca="1">Fin.Qtr!S50</f>
        <v>-576.67254104300184</v>
      </c>
      <c r="T48" s="37">
        <f ca="1">Fin.Qtr!U50</f>
        <v>-3145.8354942415463</v>
      </c>
      <c r="U48" s="37">
        <f ca="1">Fin.Qtr!V50</f>
        <v>-1923.3896990929716</v>
      </c>
      <c r="X48" s="29"/>
      <c r="AC48" s="30"/>
      <c r="AE48" s="38" t="s">
        <v>213</v>
      </c>
      <c r="AF48" s="38"/>
      <c r="AG48" s="38"/>
      <c r="AH48" s="38"/>
      <c r="AI48" s="39">
        <f>AJ47</f>
        <v>3647.4051967565779</v>
      </c>
      <c r="AJ48" s="38"/>
    </row>
    <row r="49" spans="1:43" x14ac:dyDescent="0.55000000000000004">
      <c r="B49" s="59"/>
      <c r="C49" s="59"/>
      <c r="D49" s="59"/>
      <c r="E49" s="59"/>
      <c r="G49" s="44" t="str">
        <f>Fin.Qtr!B51</f>
        <v>Facilities Expense</v>
      </c>
      <c r="H49" s="32"/>
      <c r="I49" s="32"/>
      <c r="J49" s="32"/>
      <c r="K49" s="37">
        <f ca="1">Fin.Qtr!L51</f>
        <v>-42</v>
      </c>
      <c r="L49" s="37">
        <f ca="1">Fin.Qtr!M51</f>
        <v>-42</v>
      </c>
      <c r="M49" s="37">
        <f ca="1">Fin.Qtr!N51</f>
        <v>-42</v>
      </c>
      <c r="N49" s="37">
        <f ca="1">Fin.Qtr!O51</f>
        <v>-42</v>
      </c>
      <c r="O49" s="37">
        <f ca="1">Fin.Qtr!P51</f>
        <v>-42</v>
      </c>
      <c r="P49" s="37">
        <f ca="1">Fin.Qtr!Q51</f>
        <v>-42</v>
      </c>
      <c r="Q49" s="37">
        <f ca="1">Fin.Qtr!R51</f>
        <v>-42</v>
      </c>
      <c r="R49" s="37">
        <f ca="1">Fin.Qtr!S51</f>
        <v>-56</v>
      </c>
      <c r="T49" s="37">
        <f ca="1">Fin.Qtr!U51</f>
        <v>-168</v>
      </c>
      <c r="U49" s="37">
        <f ca="1">Fin.Qtr!V51</f>
        <v>-182</v>
      </c>
      <c r="X49" s="29"/>
      <c r="AC49" s="30"/>
    </row>
    <row r="50" spans="1:43" x14ac:dyDescent="0.55000000000000004">
      <c r="B50" s="59"/>
      <c r="C50" s="59"/>
      <c r="D50" s="59"/>
      <c r="E50" s="59"/>
      <c r="G50" s="44" t="str">
        <f>Fin.Qtr!B52</f>
        <v>Miscellaneous</v>
      </c>
      <c r="H50" s="32"/>
      <c r="I50" s="32"/>
      <c r="J50" s="32"/>
      <c r="K50" s="37">
        <f ca="1">Fin.Qtr!L52</f>
        <v>-23.430726562500002</v>
      </c>
      <c r="L50" s="37">
        <f ca="1">Fin.Qtr!M52</f>
        <v>-34.877103374882815</v>
      </c>
      <c r="M50" s="37">
        <f ca="1">Fin.Qtr!N52</f>
        <v>-35.156693854889149</v>
      </c>
      <c r="N50" s="37">
        <f ca="1">Fin.Qtr!O52</f>
        <v>-38.419991451088642</v>
      </c>
      <c r="O50" s="37">
        <f ca="1">Fin.Qtr!P52</f>
        <v>-31.853467071447255</v>
      </c>
      <c r="P50" s="37">
        <f ca="1">Fin.Qtr!Q52</f>
        <v>-28.380818110114301</v>
      </c>
      <c r="Q50" s="37">
        <f ca="1">Fin.Qtr!R52</f>
        <v>-31.798762675487033</v>
      </c>
      <c r="R50" s="37">
        <f ca="1">Fin.Qtr!S52</f>
        <v>-35.975501815004982</v>
      </c>
      <c r="T50" s="37">
        <f ca="1">Fin.Qtr!U52</f>
        <v>-131.8845152433606</v>
      </c>
      <c r="U50" s="37">
        <f ca="1">Fin.Qtr!V52</f>
        <v>-128.00854967205356</v>
      </c>
      <c r="X50" s="29"/>
      <c r="AC50" s="30"/>
    </row>
    <row r="51" spans="1:43" x14ac:dyDescent="0.55000000000000004">
      <c r="B51" s="59"/>
      <c r="C51" s="59"/>
      <c r="D51" s="59"/>
      <c r="E51" s="59"/>
      <c r="G51" s="40" t="s">
        <v>100</v>
      </c>
      <c r="H51" s="41"/>
      <c r="I51" s="41"/>
      <c r="J51" s="41"/>
      <c r="K51" s="42">
        <f ca="1">Fin.Qtr!L53</f>
        <v>-2032.4780203125001</v>
      </c>
      <c r="L51" s="42">
        <f ca="1">Fin.Qtr!M53</f>
        <v>-370.94991700160159</v>
      </c>
      <c r="M51" s="42">
        <f ca="1">Fin.Qtr!N53</f>
        <v>-398.51375503935611</v>
      </c>
      <c r="N51" s="42">
        <f ca="1">Fin.Qtr!O53</f>
        <v>-465.84272008557269</v>
      </c>
      <c r="O51" s="42">
        <f ca="1">Fin.Qtr!P53</f>
        <v>-616.2529737819159</v>
      </c>
      <c r="P51" s="42">
        <f ca="1">Fin.Qtr!Q53</f>
        <v>-792.52773460649871</v>
      </c>
      <c r="Q51" s="42">
        <f ca="1">Fin.Qtr!R53</f>
        <v>-890.79700965594191</v>
      </c>
      <c r="R51" s="42">
        <f ca="1">Fin.Qtr!S53</f>
        <v>-1016.8114533266726</v>
      </c>
      <c r="T51" s="42">
        <f ca="1">Fin.Qtr!U53</f>
        <v>-3267.7844124390303</v>
      </c>
      <c r="U51" s="42">
        <f ca="1">Fin.Qtr!V53</f>
        <v>-3316.3891713710291</v>
      </c>
      <c r="X51" s="29"/>
      <c r="AC51" s="30"/>
    </row>
    <row r="52" spans="1:43" x14ac:dyDescent="0.55000000000000004">
      <c r="B52" s="59"/>
      <c r="C52" s="59"/>
      <c r="D52" s="59"/>
      <c r="E52" s="59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T52" s="32"/>
      <c r="U52" s="32"/>
      <c r="X52" s="29"/>
      <c r="AC52" s="30"/>
    </row>
    <row r="53" spans="1:43" x14ac:dyDescent="0.55000000000000004">
      <c r="B53" s="59"/>
      <c r="C53" s="59"/>
      <c r="D53" s="59"/>
      <c r="E53" s="59"/>
      <c r="G53" s="40" t="s">
        <v>135</v>
      </c>
      <c r="H53" s="40"/>
      <c r="I53" s="40"/>
      <c r="J53" s="40"/>
      <c r="K53" s="42">
        <f ca="1">Fin.Qtr!L66</f>
        <v>-477.65008812071909</v>
      </c>
      <c r="L53" s="42">
        <f ca="1">Fin.Qtr!M66</f>
        <v>-354.48792849772235</v>
      </c>
      <c r="M53" s="42">
        <f ca="1">Fin.Qtr!N66</f>
        <v>-508.98632336638923</v>
      </c>
      <c r="N53" s="42">
        <f ca="1">Fin.Qtr!O66</f>
        <v>-576.76677363412273</v>
      </c>
      <c r="O53" s="42">
        <f ca="1">Fin.Qtr!P66</f>
        <v>-704.15205640098475</v>
      </c>
      <c r="P53" s="42">
        <f ca="1">Fin.Qtr!Q66</f>
        <v>-657.26964208809636</v>
      </c>
      <c r="Q53" s="42">
        <f ca="1">Fin.Qtr!R66</f>
        <v>-702.83171297886906</v>
      </c>
      <c r="R53" s="42">
        <f ca="1">Fin.Qtr!S66</f>
        <v>-777.77556076204519</v>
      </c>
      <c r="T53" s="42">
        <f ca="1">Fin.Qtr!U66</f>
        <v>-1917.8911136189536</v>
      </c>
      <c r="U53" s="42">
        <f ca="1">Fin.Qtr!V66</f>
        <v>-2842.0289722299954</v>
      </c>
      <c r="X53" s="29"/>
      <c r="AC53" s="30"/>
    </row>
    <row r="54" spans="1:43" x14ac:dyDescent="0.55000000000000004">
      <c r="B54" s="59"/>
      <c r="C54" s="59"/>
      <c r="D54" s="59"/>
      <c r="E54" s="59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T54" s="32"/>
      <c r="U54" s="32"/>
      <c r="X54" s="29"/>
      <c r="AC54" s="30"/>
    </row>
    <row r="55" spans="1:43" x14ac:dyDescent="0.55000000000000004">
      <c r="B55" s="59"/>
      <c r="C55" s="59"/>
      <c r="D55" s="59"/>
      <c r="E55" s="59"/>
      <c r="G55" s="15" t="s">
        <v>134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T55" s="16"/>
      <c r="U55" s="16"/>
      <c r="X55" s="29"/>
      <c r="AC55" s="30"/>
    </row>
    <row r="56" spans="1:43" x14ac:dyDescent="0.55000000000000004">
      <c r="G56" s="32" t="s">
        <v>35</v>
      </c>
      <c r="H56" s="32"/>
      <c r="I56" s="32"/>
      <c r="J56" s="32"/>
      <c r="K56" s="37">
        <f ca="1">Fin.Qtr!L74</f>
        <v>2509.1940545876141</v>
      </c>
      <c r="L56" s="37">
        <f ca="1">Fin.Qtr!M74</f>
        <v>2336.3746087475333</v>
      </c>
      <c r="M56" s="37">
        <f ca="1">Fin.Qtr!N74</f>
        <v>1834.1073319277518</v>
      </c>
      <c r="N56" s="37">
        <f ca="1">Fin.Qtr!O74</f>
        <v>3463.641033832675</v>
      </c>
      <c r="O56" s="37">
        <f ca="1">Fin.Qtr!P74</f>
        <v>3871.1409121455431</v>
      </c>
      <c r="P56" s="37">
        <f ca="1">Fin.Qtr!Q74</f>
        <v>3207.4490925252089</v>
      </c>
      <c r="Q56" s="37">
        <f ca="1">Fin.Qtr!R74</f>
        <v>2522.0974891483684</v>
      </c>
      <c r="R56" s="37">
        <f ca="1">Fin.Qtr!S74</f>
        <v>1773.8555030985299</v>
      </c>
      <c r="T56" s="37">
        <f ca="1">Fin.Qtr!U74</f>
        <v>2535.8292572738937</v>
      </c>
      <c r="U56" s="37">
        <f ca="1">Fin.Qtr!V74</f>
        <v>2843.6357492294128</v>
      </c>
      <c r="X56" s="29"/>
      <c r="AC56" s="30"/>
    </row>
    <row r="57" spans="1:43" x14ac:dyDescent="0.55000000000000004">
      <c r="G57" s="32" t="s">
        <v>110</v>
      </c>
      <c r="H57" s="32"/>
      <c r="I57" s="32"/>
      <c r="J57" s="32"/>
      <c r="K57" s="37">
        <f ca="1">Fin.Qtr!L81</f>
        <v>840.26020833333348</v>
      </c>
      <c r="L57" s="37">
        <f ca="1">Fin.Qtr!M81</f>
        <v>1262.6063692687501</v>
      </c>
      <c r="M57" s="37">
        <f ca="1">Fin.Qtr!N81</f>
        <v>1151.7557600118473</v>
      </c>
      <c r="N57" s="37">
        <f ca="1">Fin.Qtr!O81</f>
        <v>1015.9589970959436</v>
      </c>
      <c r="O57" s="37">
        <f ca="1">Fin.Qtr!P81</f>
        <v>968.61197238294778</v>
      </c>
      <c r="P57" s="37">
        <f ca="1">Fin.Qtr!Q81</f>
        <v>1080.6422475600796</v>
      </c>
      <c r="Q57" s="37">
        <f ca="1">Fin.Qtr!R81</f>
        <v>1227.0365339854468</v>
      </c>
      <c r="R57" s="37">
        <f ca="1">Fin.Qtr!S81</f>
        <v>1415.703925207398</v>
      </c>
      <c r="T57" s="37">
        <f ca="1">Fin.Qtr!U81</f>
        <v>1067.6453336774684</v>
      </c>
      <c r="U57" s="37">
        <f ca="1">Fin.Qtr!V81</f>
        <v>1172.9986697839681</v>
      </c>
      <c r="X57" s="29"/>
      <c r="AC57" s="30"/>
    </row>
    <row r="58" spans="1:43" x14ac:dyDescent="0.55000000000000004">
      <c r="A58" s="19"/>
      <c r="G58" s="32" t="s">
        <v>137</v>
      </c>
      <c r="H58" s="32"/>
      <c r="I58" s="32"/>
      <c r="J58" s="32"/>
      <c r="K58" s="37">
        <f ca="1">SUM(Fin.Qtr!L75)-SUM(Fin.Qtr!L80:L82)</f>
        <v>-1078.7282655251145</v>
      </c>
      <c r="L58" s="37">
        <f ca="1">SUM(Fin.Qtr!M75)-SUM(Fin.Qtr!M80:M82)</f>
        <v>-1612.8136342597863</v>
      </c>
      <c r="M58" s="37">
        <f ca="1">SUM(Fin.Qtr!N75)-SUM(Fin.Qtr!N80:N82)</f>
        <v>-1499.0865994538713</v>
      </c>
      <c r="N58" s="37">
        <f ca="1">SUM(Fin.Qtr!O75)-SUM(Fin.Qtr!O80:O82)</f>
        <v>-1389.3385478532625</v>
      </c>
      <c r="O58" s="37">
        <f ca="1">SUM(Fin.Qtr!P75)-SUM(Fin.Qtr!P80:P82)</f>
        <v>-1273.3603073283291</v>
      </c>
      <c r="P58" s="37">
        <f ca="1">SUM(Fin.Qtr!Q75)-SUM(Fin.Qtr!Q80:Q82)</f>
        <v>-1347.3832424547679</v>
      </c>
      <c r="Q58" s="37">
        <f ca="1">SUM(Fin.Qtr!R75)-SUM(Fin.Qtr!R80:R82)</f>
        <v>-1520.8059305895854</v>
      </c>
      <c r="R58" s="37">
        <f ca="1">SUM(Fin.Qtr!S75)-SUM(Fin.Qtr!S80:S82)</f>
        <v>-1742.3000640342536</v>
      </c>
      <c r="T58" s="37">
        <f ca="1">SUM(Fin.Qtr!U75)-SUM(Fin.Qtr!U80:U82)</f>
        <v>-1394.9917617730084</v>
      </c>
      <c r="U58" s="37">
        <f ca="1">SUM(Fin.Qtr!V75)-SUM(Fin.Qtr!V80:V82)</f>
        <v>-1470.9623861017342</v>
      </c>
      <c r="X58" s="51"/>
      <c r="Y58" s="52"/>
      <c r="Z58" s="52"/>
      <c r="AA58" s="52"/>
      <c r="AB58" s="52"/>
      <c r="AC58" s="53"/>
    </row>
    <row r="59" spans="1:43" x14ac:dyDescent="0.55000000000000004">
      <c r="K59" s="66"/>
      <c r="L59" s="66"/>
      <c r="M59" s="66"/>
      <c r="N59" s="66"/>
      <c r="O59" s="66"/>
      <c r="P59" s="66"/>
      <c r="Q59" s="66"/>
      <c r="R59" s="66"/>
    </row>
    <row r="60" spans="1:43" x14ac:dyDescent="0.55000000000000004">
      <c r="A60" s="14" t="s">
        <v>10</v>
      </c>
      <c r="B60" s="67" t="s">
        <v>86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9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31F3-4A41-40A3-B409-A4BF6B799B92}">
  <sheetPr>
    <tabColor theme="1"/>
  </sheetPr>
  <dimension ref="A1:J20"/>
  <sheetViews>
    <sheetView showGridLines="0" zoomScale="85" zoomScaleNormal="85" workbookViewId="0"/>
  </sheetViews>
  <sheetFormatPr defaultColWidth="0" defaultRowHeight="0" customHeight="1" zeroHeight="1" x14ac:dyDescent="0.55000000000000004"/>
  <cols>
    <col min="1" max="1" width="2.578125" customWidth="1"/>
    <col min="2" max="9" width="8.83984375" customWidth="1"/>
    <col min="10" max="10" width="2.578125" customWidth="1"/>
    <col min="11" max="16384" width="8.83984375" hidden="1"/>
  </cols>
  <sheetData>
    <row r="1" spans="2:9" ht="14.4" x14ac:dyDescent="0.55000000000000004"/>
    <row r="2" spans="2:9" ht="14.4" x14ac:dyDescent="0.55000000000000004"/>
    <row r="3" spans="2:9" ht="14.4" x14ac:dyDescent="0.55000000000000004"/>
    <row r="4" spans="2:9" ht="14.4" x14ac:dyDescent="0.55000000000000004"/>
    <row r="5" spans="2:9" ht="14.4" x14ac:dyDescent="0.55000000000000004"/>
    <row r="6" spans="2:9" ht="14.4" x14ac:dyDescent="0.55000000000000004"/>
    <row r="7" spans="2:9" ht="14.7" thickBot="1" x14ac:dyDescent="0.6">
      <c r="B7" s="2"/>
      <c r="C7" s="2"/>
      <c r="D7" s="2"/>
      <c r="E7" s="2"/>
      <c r="F7" s="3"/>
      <c r="G7" s="3"/>
      <c r="H7" s="3"/>
      <c r="I7" s="3"/>
    </row>
    <row r="8" spans="2:9" ht="3" customHeight="1" x14ac:dyDescent="0.55000000000000004">
      <c r="B8" s="4"/>
      <c r="C8" s="4"/>
      <c r="D8" s="4"/>
      <c r="E8" s="4"/>
      <c r="F8" s="5"/>
      <c r="G8" s="5"/>
      <c r="H8" s="5"/>
      <c r="I8" s="5"/>
    </row>
    <row r="9" spans="2:9" ht="15.6" x14ac:dyDescent="0.55000000000000004">
      <c r="B9" s="6" t="s">
        <v>248</v>
      </c>
      <c r="C9" s="4"/>
      <c r="D9" s="4"/>
      <c r="E9" s="4"/>
      <c r="F9" s="5"/>
      <c r="G9" s="5"/>
      <c r="H9" s="5"/>
      <c r="I9" s="5"/>
    </row>
    <row r="10" spans="2:9" ht="14.4" x14ac:dyDescent="0.55000000000000004">
      <c r="B10" s="7" t="s">
        <v>186</v>
      </c>
      <c r="C10" s="4"/>
      <c r="D10" s="4"/>
      <c r="E10" s="4"/>
    </row>
    <row r="11" spans="2:9" ht="14.4" x14ac:dyDescent="0.55000000000000004">
      <c r="B11" s="9" t="s">
        <v>188</v>
      </c>
      <c r="C11" s="4"/>
      <c r="D11" s="4"/>
      <c r="E11" s="4"/>
      <c r="F11" s="10"/>
      <c r="G11" s="10"/>
      <c r="H11" s="10"/>
      <c r="I11" s="10"/>
    </row>
    <row r="12" spans="2:9" ht="3" customHeight="1" thickBot="1" x14ac:dyDescent="0.6">
      <c r="B12" s="2"/>
      <c r="C12" s="2"/>
      <c r="D12" s="2"/>
      <c r="E12" s="2"/>
      <c r="F12" s="3"/>
      <c r="G12" s="3"/>
      <c r="H12" s="3"/>
      <c r="I12" s="3"/>
    </row>
    <row r="13" spans="2:9" ht="14.4" x14ac:dyDescent="0.55000000000000004">
      <c r="B13" s="4"/>
      <c r="C13" s="4"/>
      <c r="D13" s="4"/>
      <c r="E13" s="4"/>
      <c r="F13" s="5"/>
      <c r="G13" s="5"/>
      <c r="H13" s="5"/>
      <c r="I13" s="5"/>
    </row>
    <row r="14" spans="2:9" ht="14.4" x14ac:dyDescent="0.55000000000000004"/>
    <row r="15" spans="2:9" ht="14.4" x14ac:dyDescent="0.55000000000000004"/>
    <row r="16" spans="2:9" ht="14.4" x14ac:dyDescent="0.55000000000000004"/>
    <row r="17" customFormat="1" ht="14.4" x14ac:dyDescent="0.55000000000000004"/>
    <row r="18" customFormat="1" ht="14.4" x14ac:dyDescent="0.55000000000000004"/>
    <row r="19" customFormat="1" ht="14.4" x14ac:dyDescent="0.55000000000000004"/>
    <row r="20" customFormat="1" ht="14.4" x14ac:dyDescent="0.5500000000000000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FD48-C7CA-494E-8AE9-83936DAEEB23}">
  <dimension ref="A1:AJ154"/>
  <sheetViews>
    <sheetView showGridLines="0" zoomScale="85" zoomScaleNormal="85" workbookViewId="0">
      <pane xSplit="11" ySplit="13" topLeftCell="L14" activePane="bottomRight" state="frozen"/>
      <selection activeCell="Q137" sqref="Q137"/>
      <selection pane="topRight" activeCell="Q137" sqref="Q137"/>
      <selection pane="bottomLeft" activeCell="Q137" sqref="Q137"/>
      <selection pane="bottomRight"/>
    </sheetView>
  </sheetViews>
  <sheetFormatPr defaultColWidth="0" defaultRowHeight="12.9" x14ac:dyDescent="0.55000000000000004"/>
  <cols>
    <col min="1" max="1" width="2.578125" style="1" customWidth="1"/>
    <col min="2" max="5" width="9.15625" style="4" customWidth="1"/>
    <col min="6" max="6" width="9.15625" style="86" customWidth="1"/>
    <col min="7" max="7" width="9.15625" style="4" customWidth="1"/>
    <col min="8" max="11" width="9.15625" style="5" customWidth="1"/>
    <col min="12" max="35" width="9.15625" style="4" customWidth="1"/>
    <col min="36" max="36" width="2.578125" style="4" customWidth="1"/>
    <col min="37" max="16384" width="8.83984375" style="4" hidden="1"/>
  </cols>
  <sheetData>
    <row r="1" spans="1:35" ht="6" customHeight="1" thickBot="1" x14ac:dyDescent="0.6">
      <c r="B1" s="2"/>
      <c r="C1" s="2"/>
      <c r="D1" s="2"/>
      <c r="E1" s="2"/>
      <c r="F1" s="3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3" customHeight="1" x14ac:dyDescent="0.55000000000000004">
      <c r="F2" s="5"/>
    </row>
    <row r="3" spans="1:35" ht="15.6" x14ac:dyDescent="0.55000000000000004">
      <c r="B3" s="6" t="s">
        <v>248</v>
      </c>
      <c r="F3" s="5"/>
    </row>
    <row r="4" spans="1:35" ht="14.4" x14ac:dyDescent="0.55000000000000004">
      <c r="B4" s="7" t="s">
        <v>63</v>
      </c>
      <c r="F4" s="5"/>
      <c r="G4" s="8" t="s">
        <v>138</v>
      </c>
      <c r="H4" s="8" t="s">
        <v>176</v>
      </c>
      <c r="I4" s="8" t="s">
        <v>178</v>
      </c>
      <c r="J4" s="8" t="s">
        <v>177</v>
      </c>
      <c r="K4" s="8" t="s">
        <v>184</v>
      </c>
    </row>
    <row r="5" spans="1:35" x14ac:dyDescent="0.55000000000000004">
      <c r="B5" s="9" t="str">
        <f ca="1">Ctrl!$B$5</f>
        <v>CASE 1: BASE CASE</v>
      </c>
      <c r="F5" s="5"/>
      <c r="G5" s="11">
        <f ca="1">Sum!$E$19</f>
        <v>16</v>
      </c>
      <c r="H5" s="12">
        <f ca="1">Sum!$E$28</f>
        <v>3259.9200858489485</v>
      </c>
      <c r="I5" s="13">
        <f ca="1">Sum!$E$21</f>
        <v>45626</v>
      </c>
      <c r="J5" s="12">
        <f ca="1">'Calc.Mth'!$AI$57</f>
        <v>2999.7355308861597</v>
      </c>
      <c r="K5" s="12">
        <f ca="1">Fin.Mth!$AI$81</f>
        <v>1487.7626164462733</v>
      </c>
    </row>
    <row r="6" spans="1:35" ht="3" customHeight="1" x14ac:dyDescent="0.55000000000000004">
      <c r="F6" s="5"/>
    </row>
    <row r="7" spans="1:35" s="72" customFormat="1" x14ac:dyDescent="0.55000000000000004">
      <c r="A7" s="71"/>
      <c r="B7" s="72" t="s">
        <v>0</v>
      </c>
      <c r="F7" s="73"/>
      <c r="H7" s="74"/>
      <c r="I7" s="74"/>
      <c r="J7" s="74"/>
      <c r="K7" s="74"/>
      <c r="L7" s="75">
        <v>45322</v>
      </c>
      <c r="M7" s="75">
        <f>EOMONTH(M8,0)</f>
        <v>45351</v>
      </c>
      <c r="N7" s="118">
        <f t="shared" ref="N7:V7" si="0">EOMONTH(N8,0)</f>
        <v>45382</v>
      </c>
      <c r="O7" s="118">
        <f t="shared" si="0"/>
        <v>45412</v>
      </c>
      <c r="P7" s="118">
        <f t="shared" si="0"/>
        <v>45443</v>
      </c>
      <c r="Q7" s="118">
        <f t="shared" si="0"/>
        <v>45473</v>
      </c>
      <c r="R7" s="118">
        <f t="shared" si="0"/>
        <v>45504</v>
      </c>
      <c r="S7" s="118">
        <f t="shared" si="0"/>
        <v>45535</v>
      </c>
      <c r="T7" s="118">
        <f t="shared" si="0"/>
        <v>45565</v>
      </c>
      <c r="U7" s="118">
        <f t="shared" si="0"/>
        <v>45596</v>
      </c>
      <c r="V7" s="118">
        <f t="shared" si="0"/>
        <v>45626</v>
      </c>
      <c r="W7" s="118">
        <f t="shared" ref="W7" si="1">EOMONTH(W8,0)</f>
        <v>45657</v>
      </c>
      <c r="X7" s="118">
        <f t="shared" ref="X7" si="2">EOMONTH(X8,0)</f>
        <v>45688</v>
      </c>
      <c r="Y7" s="118">
        <f t="shared" ref="Y7" si="3">EOMONTH(Y8,0)</f>
        <v>45716</v>
      </c>
      <c r="Z7" s="118">
        <f t="shared" ref="Z7" si="4">EOMONTH(Z8,0)</f>
        <v>45747</v>
      </c>
      <c r="AA7" s="118">
        <f t="shared" ref="AA7" si="5">EOMONTH(AA8,0)</f>
        <v>45777</v>
      </c>
      <c r="AB7" s="118">
        <f t="shared" ref="AB7" si="6">EOMONTH(AB8,0)</f>
        <v>45808</v>
      </c>
      <c r="AC7" s="118">
        <f t="shared" ref="AC7" si="7">EOMONTH(AC8,0)</f>
        <v>45838</v>
      </c>
      <c r="AD7" s="118">
        <f t="shared" ref="AD7" si="8">EOMONTH(AD8,0)</f>
        <v>45869</v>
      </c>
      <c r="AE7" s="118">
        <f t="shared" ref="AE7" si="9">EOMONTH(AE8,0)</f>
        <v>45900</v>
      </c>
      <c r="AF7" s="118">
        <f t="shared" ref="AF7" si="10">EOMONTH(AF8,0)</f>
        <v>45930</v>
      </c>
      <c r="AG7" s="118">
        <f t="shared" ref="AG7" si="11">EOMONTH(AG8,0)</f>
        <v>45961</v>
      </c>
      <c r="AH7" s="118">
        <f t="shared" ref="AH7" si="12">EOMONTH(AH8,0)</f>
        <v>45991</v>
      </c>
      <c r="AI7" s="118">
        <f t="shared" ref="AI7" si="13">EOMONTH(AI8,0)</f>
        <v>46022</v>
      </c>
    </row>
    <row r="8" spans="1:35" x14ac:dyDescent="0.55000000000000004">
      <c r="B8" s="4" t="s">
        <v>1</v>
      </c>
      <c r="F8" s="5"/>
      <c r="H8" s="76"/>
      <c r="I8" s="76"/>
      <c r="J8" s="76"/>
      <c r="K8" s="76"/>
      <c r="L8" s="77">
        <v>45292</v>
      </c>
      <c r="M8" s="77">
        <f>L7+1</f>
        <v>45323</v>
      </c>
      <c r="N8" s="119">
        <f t="shared" ref="N8:AI8" si="14">M7+1</f>
        <v>45352</v>
      </c>
      <c r="O8" s="119">
        <f t="shared" si="14"/>
        <v>45383</v>
      </c>
      <c r="P8" s="119">
        <f t="shared" si="14"/>
        <v>45413</v>
      </c>
      <c r="Q8" s="119">
        <f t="shared" si="14"/>
        <v>45444</v>
      </c>
      <c r="R8" s="119">
        <f t="shared" si="14"/>
        <v>45474</v>
      </c>
      <c r="S8" s="119">
        <f t="shared" si="14"/>
        <v>45505</v>
      </c>
      <c r="T8" s="119">
        <f t="shared" si="14"/>
        <v>45536</v>
      </c>
      <c r="U8" s="119">
        <f t="shared" si="14"/>
        <v>45566</v>
      </c>
      <c r="V8" s="119">
        <f t="shared" si="14"/>
        <v>45597</v>
      </c>
      <c r="W8" s="119">
        <f t="shared" si="14"/>
        <v>45627</v>
      </c>
      <c r="X8" s="119">
        <f t="shared" si="14"/>
        <v>45658</v>
      </c>
      <c r="Y8" s="119">
        <f t="shared" si="14"/>
        <v>45689</v>
      </c>
      <c r="Z8" s="119">
        <f t="shared" si="14"/>
        <v>45717</v>
      </c>
      <c r="AA8" s="119">
        <f t="shared" si="14"/>
        <v>45748</v>
      </c>
      <c r="AB8" s="119">
        <f t="shared" si="14"/>
        <v>45778</v>
      </c>
      <c r="AC8" s="119">
        <f t="shared" si="14"/>
        <v>45809</v>
      </c>
      <c r="AD8" s="119">
        <f t="shared" si="14"/>
        <v>45839</v>
      </c>
      <c r="AE8" s="119">
        <f t="shared" si="14"/>
        <v>45870</v>
      </c>
      <c r="AF8" s="119">
        <f t="shared" si="14"/>
        <v>45901</v>
      </c>
      <c r="AG8" s="119">
        <f t="shared" si="14"/>
        <v>45931</v>
      </c>
      <c r="AH8" s="119">
        <f t="shared" si="14"/>
        <v>45962</v>
      </c>
      <c r="AI8" s="119">
        <f t="shared" si="14"/>
        <v>45992</v>
      </c>
    </row>
    <row r="9" spans="1:35" x14ac:dyDescent="0.55000000000000004">
      <c r="B9" s="4" t="s">
        <v>2</v>
      </c>
      <c r="F9" s="5"/>
      <c r="H9" s="76"/>
      <c r="I9" s="76"/>
      <c r="J9" s="76"/>
      <c r="K9" s="76"/>
      <c r="L9" s="78">
        <f>YEAR(L7)</f>
        <v>2024</v>
      </c>
      <c r="M9" s="78">
        <f t="shared" ref="M9:AI9" si="15">YEAR(M7)</f>
        <v>2024</v>
      </c>
      <c r="N9" s="4">
        <f t="shared" si="15"/>
        <v>2024</v>
      </c>
      <c r="O9" s="4">
        <f t="shared" si="15"/>
        <v>2024</v>
      </c>
      <c r="P9" s="4">
        <f t="shared" si="15"/>
        <v>2024</v>
      </c>
      <c r="Q9" s="4">
        <f t="shared" si="15"/>
        <v>2024</v>
      </c>
      <c r="R9" s="4">
        <f t="shared" si="15"/>
        <v>2024</v>
      </c>
      <c r="S9" s="4">
        <f t="shared" si="15"/>
        <v>2024</v>
      </c>
      <c r="T9" s="4">
        <f t="shared" si="15"/>
        <v>2024</v>
      </c>
      <c r="U9" s="4">
        <f t="shared" si="15"/>
        <v>2024</v>
      </c>
      <c r="V9" s="4">
        <f t="shared" si="15"/>
        <v>2024</v>
      </c>
      <c r="W9" s="4">
        <f t="shared" si="15"/>
        <v>2024</v>
      </c>
      <c r="X9" s="4">
        <f t="shared" si="15"/>
        <v>2025</v>
      </c>
      <c r="Y9" s="4">
        <f t="shared" si="15"/>
        <v>2025</v>
      </c>
      <c r="Z9" s="4">
        <f t="shared" si="15"/>
        <v>2025</v>
      </c>
      <c r="AA9" s="4">
        <f t="shared" si="15"/>
        <v>2025</v>
      </c>
      <c r="AB9" s="4">
        <f t="shared" si="15"/>
        <v>2025</v>
      </c>
      <c r="AC9" s="4">
        <f t="shared" si="15"/>
        <v>2025</v>
      </c>
      <c r="AD9" s="4">
        <f t="shared" si="15"/>
        <v>2025</v>
      </c>
      <c r="AE9" s="4">
        <f t="shared" si="15"/>
        <v>2025</v>
      </c>
      <c r="AF9" s="4">
        <f t="shared" si="15"/>
        <v>2025</v>
      </c>
      <c r="AG9" s="4">
        <f t="shared" si="15"/>
        <v>2025</v>
      </c>
      <c r="AH9" s="4">
        <f t="shared" si="15"/>
        <v>2025</v>
      </c>
      <c r="AI9" s="4">
        <f t="shared" si="15"/>
        <v>2025</v>
      </c>
    </row>
    <row r="10" spans="1:35" x14ac:dyDescent="0.55000000000000004">
      <c r="B10" s="4" t="s">
        <v>3</v>
      </c>
      <c r="F10" s="5"/>
      <c r="H10" s="76"/>
      <c r="I10" s="76"/>
      <c r="J10" s="76"/>
      <c r="K10" s="76"/>
      <c r="L10" s="78">
        <v>1</v>
      </c>
      <c r="M10" s="78">
        <f>L10+1</f>
        <v>2</v>
      </c>
      <c r="N10" s="4">
        <f t="shared" ref="N10:AI10" si="16">M10+1</f>
        <v>3</v>
      </c>
      <c r="O10" s="4">
        <f t="shared" si="16"/>
        <v>4</v>
      </c>
      <c r="P10" s="4">
        <f t="shared" si="16"/>
        <v>5</v>
      </c>
      <c r="Q10" s="4">
        <f t="shared" si="16"/>
        <v>6</v>
      </c>
      <c r="R10" s="4">
        <f t="shared" si="16"/>
        <v>7</v>
      </c>
      <c r="S10" s="4">
        <f t="shared" si="16"/>
        <v>8</v>
      </c>
      <c r="T10" s="4">
        <f t="shared" si="16"/>
        <v>9</v>
      </c>
      <c r="U10" s="4">
        <f t="shared" si="16"/>
        <v>10</v>
      </c>
      <c r="V10" s="4">
        <f t="shared" si="16"/>
        <v>11</v>
      </c>
      <c r="W10" s="4">
        <f t="shared" si="16"/>
        <v>12</v>
      </c>
      <c r="X10" s="4">
        <f t="shared" si="16"/>
        <v>13</v>
      </c>
      <c r="Y10" s="4">
        <f t="shared" si="16"/>
        <v>14</v>
      </c>
      <c r="Z10" s="4">
        <f t="shared" si="16"/>
        <v>15</v>
      </c>
      <c r="AA10" s="4">
        <f t="shared" si="16"/>
        <v>16</v>
      </c>
      <c r="AB10" s="4">
        <f t="shared" si="16"/>
        <v>17</v>
      </c>
      <c r="AC10" s="4">
        <f t="shared" si="16"/>
        <v>18</v>
      </c>
      <c r="AD10" s="4">
        <f t="shared" si="16"/>
        <v>19</v>
      </c>
      <c r="AE10" s="4">
        <f t="shared" si="16"/>
        <v>20</v>
      </c>
      <c r="AF10" s="4">
        <f t="shared" si="16"/>
        <v>21</v>
      </c>
      <c r="AG10" s="4">
        <f t="shared" si="16"/>
        <v>22</v>
      </c>
      <c r="AH10" s="4">
        <f t="shared" si="16"/>
        <v>23</v>
      </c>
      <c r="AI10" s="4">
        <f t="shared" si="16"/>
        <v>24</v>
      </c>
    </row>
    <row r="11" spans="1:35" x14ac:dyDescent="0.55000000000000004">
      <c r="B11" s="4" t="s">
        <v>4</v>
      </c>
      <c r="F11" s="79" t="s">
        <v>5</v>
      </c>
      <c r="G11" s="80"/>
      <c r="H11" s="81" t="s">
        <v>6</v>
      </c>
      <c r="I11" s="81" t="s">
        <v>7</v>
      </c>
      <c r="J11" s="81" t="s">
        <v>8</v>
      </c>
      <c r="K11" s="81" t="s">
        <v>79</v>
      </c>
      <c r="L11" s="78">
        <f>L7-L8+1</f>
        <v>31</v>
      </c>
      <c r="M11" s="78">
        <f>M7-M8+1</f>
        <v>29</v>
      </c>
      <c r="N11" s="4">
        <f t="shared" ref="N11:AI11" si="17">N7-N8+1</f>
        <v>31</v>
      </c>
      <c r="O11" s="4">
        <f t="shared" si="17"/>
        <v>30</v>
      </c>
      <c r="P11" s="4">
        <f t="shared" si="17"/>
        <v>31</v>
      </c>
      <c r="Q11" s="4">
        <f t="shared" si="17"/>
        <v>30</v>
      </c>
      <c r="R11" s="4">
        <f t="shared" si="17"/>
        <v>31</v>
      </c>
      <c r="S11" s="4">
        <f t="shared" si="17"/>
        <v>31</v>
      </c>
      <c r="T11" s="4">
        <f t="shared" si="17"/>
        <v>30</v>
      </c>
      <c r="U11" s="4">
        <f t="shared" si="17"/>
        <v>31</v>
      </c>
      <c r="V11" s="4">
        <f t="shared" si="17"/>
        <v>30</v>
      </c>
      <c r="W11" s="4">
        <f t="shared" si="17"/>
        <v>31</v>
      </c>
      <c r="X11" s="4">
        <f t="shared" si="17"/>
        <v>31</v>
      </c>
      <c r="Y11" s="4">
        <f t="shared" si="17"/>
        <v>28</v>
      </c>
      <c r="Z11" s="4">
        <f t="shared" si="17"/>
        <v>31</v>
      </c>
      <c r="AA11" s="4">
        <f t="shared" si="17"/>
        <v>30</v>
      </c>
      <c r="AB11" s="4">
        <f t="shared" si="17"/>
        <v>31</v>
      </c>
      <c r="AC11" s="4">
        <f t="shared" si="17"/>
        <v>30</v>
      </c>
      <c r="AD11" s="4">
        <f t="shared" si="17"/>
        <v>31</v>
      </c>
      <c r="AE11" s="4">
        <f t="shared" si="17"/>
        <v>31</v>
      </c>
      <c r="AF11" s="4">
        <f t="shared" si="17"/>
        <v>30</v>
      </c>
      <c r="AG11" s="4">
        <f t="shared" si="17"/>
        <v>31</v>
      </c>
      <c r="AH11" s="4">
        <f t="shared" si="17"/>
        <v>30</v>
      </c>
      <c r="AI11" s="4">
        <f t="shared" si="17"/>
        <v>31</v>
      </c>
    </row>
    <row r="12" spans="1:35" ht="3" customHeight="1" thickBot="1" x14ac:dyDescent="0.6">
      <c r="B12" s="2"/>
      <c r="C12" s="2"/>
      <c r="D12" s="2"/>
      <c r="E12" s="2"/>
      <c r="F12" s="3"/>
      <c r="G12" s="2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3" customHeight="1" x14ac:dyDescent="0.55000000000000004">
      <c r="F13" s="5"/>
    </row>
    <row r="14" spans="1:35" ht="3" customHeight="1" x14ac:dyDescent="0.55000000000000004">
      <c r="F14" s="5"/>
    </row>
    <row r="15" spans="1:35" x14ac:dyDescent="0.55000000000000004">
      <c r="A15" s="82" t="s">
        <v>10</v>
      </c>
      <c r="B15" s="83" t="s">
        <v>27</v>
      </c>
      <c r="C15" s="83"/>
      <c r="D15" s="83"/>
      <c r="E15" s="83"/>
      <c r="F15" s="85"/>
      <c r="G15" s="83"/>
      <c r="H15" s="85"/>
      <c r="I15" s="85"/>
      <c r="J15" s="85"/>
      <c r="K15" s="85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</row>
    <row r="16" spans="1:35" ht="3" customHeight="1" x14ac:dyDescent="0.55000000000000004">
      <c r="F16" s="5"/>
    </row>
    <row r="17" spans="1:35" x14ac:dyDescent="0.55000000000000004">
      <c r="B17" s="4" t="s">
        <v>28</v>
      </c>
      <c r="F17" s="86" t="s">
        <v>29</v>
      </c>
      <c r="H17" s="131">
        <v>12</v>
      </c>
      <c r="L17" s="98">
        <f>(MONTH(L7)=$H17)*1</f>
        <v>0</v>
      </c>
      <c r="M17" s="98">
        <f t="shared" ref="M17:AI17" si="18">(MONTH(M7)=$H17)*1</f>
        <v>0</v>
      </c>
      <c r="N17" s="98">
        <f t="shared" si="18"/>
        <v>0</v>
      </c>
      <c r="O17" s="98">
        <f t="shared" si="18"/>
        <v>0</v>
      </c>
      <c r="P17" s="98">
        <f t="shared" si="18"/>
        <v>0</v>
      </c>
      <c r="Q17" s="98">
        <f t="shared" si="18"/>
        <v>0</v>
      </c>
      <c r="R17" s="98">
        <f t="shared" si="18"/>
        <v>0</v>
      </c>
      <c r="S17" s="98">
        <f t="shared" si="18"/>
        <v>0</v>
      </c>
      <c r="T17" s="98">
        <f t="shared" si="18"/>
        <v>0</v>
      </c>
      <c r="U17" s="98">
        <f t="shared" si="18"/>
        <v>0</v>
      </c>
      <c r="V17" s="98">
        <f t="shared" si="18"/>
        <v>0</v>
      </c>
      <c r="W17" s="98">
        <f t="shared" si="18"/>
        <v>1</v>
      </c>
      <c r="X17" s="98">
        <f t="shared" si="18"/>
        <v>0</v>
      </c>
      <c r="Y17" s="98">
        <f t="shared" si="18"/>
        <v>0</v>
      </c>
      <c r="Z17" s="98">
        <f t="shared" si="18"/>
        <v>0</v>
      </c>
      <c r="AA17" s="98">
        <f t="shared" si="18"/>
        <v>0</v>
      </c>
      <c r="AB17" s="98">
        <f t="shared" si="18"/>
        <v>0</v>
      </c>
      <c r="AC17" s="98">
        <f t="shared" si="18"/>
        <v>0</v>
      </c>
      <c r="AD17" s="98">
        <f t="shared" si="18"/>
        <v>0</v>
      </c>
      <c r="AE17" s="98">
        <f t="shared" si="18"/>
        <v>0</v>
      </c>
      <c r="AF17" s="98">
        <f t="shared" si="18"/>
        <v>0</v>
      </c>
      <c r="AG17" s="98">
        <f t="shared" si="18"/>
        <v>0</v>
      </c>
      <c r="AH17" s="98">
        <f t="shared" si="18"/>
        <v>0</v>
      </c>
      <c r="AI17" s="98">
        <f t="shared" si="18"/>
        <v>1</v>
      </c>
    </row>
    <row r="18" spans="1:35" x14ac:dyDescent="0.55000000000000004">
      <c r="B18" s="4" t="s">
        <v>49</v>
      </c>
      <c r="F18" s="86" t="s">
        <v>29</v>
      </c>
      <c r="H18" s="4"/>
      <c r="L18" s="98">
        <f>(MOD(L10,3)=0)*1</f>
        <v>0</v>
      </c>
      <c r="M18" s="98">
        <f t="shared" ref="M18:AI18" si="19">(MOD(M10,3)=0)*1</f>
        <v>0</v>
      </c>
      <c r="N18" s="98">
        <f t="shared" si="19"/>
        <v>1</v>
      </c>
      <c r="O18" s="98">
        <f t="shared" si="19"/>
        <v>0</v>
      </c>
      <c r="P18" s="98">
        <f t="shared" si="19"/>
        <v>0</v>
      </c>
      <c r="Q18" s="98">
        <f t="shared" si="19"/>
        <v>1</v>
      </c>
      <c r="R18" s="98">
        <f t="shared" si="19"/>
        <v>0</v>
      </c>
      <c r="S18" s="98">
        <f t="shared" si="19"/>
        <v>0</v>
      </c>
      <c r="T18" s="98">
        <f t="shared" si="19"/>
        <v>1</v>
      </c>
      <c r="U18" s="98">
        <f t="shared" si="19"/>
        <v>0</v>
      </c>
      <c r="V18" s="98">
        <f t="shared" si="19"/>
        <v>0</v>
      </c>
      <c r="W18" s="98">
        <f t="shared" si="19"/>
        <v>1</v>
      </c>
      <c r="X18" s="98">
        <f t="shared" si="19"/>
        <v>0</v>
      </c>
      <c r="Y18" s="98">
        <f t="shared" si="19"/>
        <v>0</v>
      </c>
      <c r="Z18" s="98">
        <f t="shared" si="19"/>
        <v>1</v>
      </c>
      <c r="AA18" s="98">
        <f t="shared" si="19"/>
        <v>0</v>
      </c>
      <c r="AB18" s="98">
        <f t="shared" si="19"/>
        <v>0</v>
      </c>
      <c r="AC18" s="98">
        <f t="shared" si="19"/>
        <v>1</v>
      </c>
      <c r="AD18" s="98">
        <f t="shared" si="19"/>
        <v>0</v>
      </c>
      <c r="AE18" s="98">
        <f t="shared" si="19"/>
        <v>0</v>
      </c>
      <c r="AF18" s="98">
        <f t="shared" si="19"/>
        <v>1</v>
      </c>
      <c r="AG18" s="98">
        <f t="shared" si="19"/>
        <v>0</v>
      </c>
      <c r="AH18" s="98">
        <f t="shared" si="19"/>
        <v>0</v>
      </c>
      <c r="AI18" s="98">
        <f t="shared" si="19"/>
        <v>1</v>
      </c>
    </row>
    <row r="19" spans="1:35" x14ac:dyDescent="0.55000000000000004">
      <c r="B19" s="4" t="s">
        <v>42</v>
      </c>
      <c r="F19" s="86" t="s">
        <v>29</v>
      </c>
      <c r="L19" s="132">
        <f>MIN(L10,$H17)</f>
        <v>1</v>
      </c>
      <c r="M19" s="132">
        <f t="shared" ref="M19:AI19" si="20">MIN(M10,$H17)</f>
        <v>2</v>
      </c>
      <c r="N19" s="132">
        <f t="shared" si="20"/>
        <v>3</v>
      </c>
      <c r="O19" s="132">
        <f t="shared" si="20"/>
        <v>4</v>
      </c>
      <c r="P19" s="132">
        <f t="shared" si="20"/>
        <v>5</v>
      </c>
      <c r="Q19" s="132">
        <f t="shared" si="20"/>
        <v>6</v>
      </c>
      <c r="R19" s="132">
        <f t="shared" si="20"/>
        <v>7</v>
      </c>
      <c r="S19" s="132">
        <f t="shared" si="20"/>
        <v>8</v>
      </c>
      <c r="T19" s="132">
        <f t="shared" si="20"/>
        <v>9</v>
      </c>
      <c r="U19" s="132">
        <f t="shared" si="20"/>
        <v>10</v>
      </c>
      <c r="V19" s="132">
        <f t="shared" si="20"/>
        <v>11</v>
      </c>
      <c r="W19" s="132">
        <f t="shared" si="20"/>
        <v>12</v>
      </c>
      <c r="X19" s="132">
        <f t="shared" si="20"/>
        <v>12</v>
      </c>
      <c r="Y19" s="132">
        <f t="shared" si="20"/>
        <v>12</v>
      </c>
      <c r="Z19" s="132">
        <f t="shared" si="20"/>
        <v>12</v>
      </c>
      <c r="AA19" s="132">
        <f t="shared" si="20"/>
        <v>12</v>
      </c>
      <c r="AB19" s="132">
        <f t="shared" si="20"/>
        <v>12</v>
      </c>
      <c r="AC19" s="132">
        <f t="shared" si="20"/>
        <v>12</v>
      </c>
      <c r="AD19" s="132">
        <f t="shared" si="20"/>
        <v>12</v>
      </c>
      <c r="AE19" s="132">
        <f t="shared" si="20"/>
        <v>12</v>
      </c>
      <c r="AF19" s="132">
        <f t="shared" si="20"/>
        <v>12</v>
      </c>
      <c r="AG19" s="132">
        <f t="shared" si="20"/>
        <v>12</v>
      </c>
      <c r="AH19" s="132">
        <f t="shared" si="20"/>
        <v>12</v>
      </c>
      <c r="AI19" s="132">
        <f t="shared" si="20"/>
        <v>12</v>
      </c>
    </row>
    <row r="21" spans="1:35" x14ac:dyDescent="0.55000000000000004">
      <c r="B21" s="72" t="s">
        <v>160</v>
      </c>
    </row>
    <row r="22" spans="1:35" x14ac:dyDescent="0.55000000000000004">
      <c r="B22" s="4" t="s">
        <v>51</v>
      </c>
      <c r="F22" s="86" t="s">
        <v>29</v>
      </c>
      <c r="H22" s="133">
        <f ca="1">Ctrl!H56</f>
        <v>750</v>
      </c>
      <c r="L22" s="98">
        <f ca="1">ROUNDDOWN(L57/$H22,0)</f>
        <v>1</v>
      </c>
      <c r="M22" s="98">
        <f t="shared" ref="M22:AI22" ca="1" si="21">ROUNDDOWN(M57/$H22,0)</f>
        <v>2</v>
      </c>
      <c r="N22" s="98">
        <f t="shared" ca="1" si="21"/>
        <v>3</v>
      </c>
      <c r="O22" s="98">
        <f t="shared" ca="1" si="21"/>
        <v>3</v>
      </c>
      <c r="P22" s="98">
        <f t="shared" ca="1" si="21"/>
        <v>3</v>
      </c>
      <c r="Q22" s="98">
        <f t="shared" ca="1" si="21"/>
        <v>3</v>
      </c>
      <c r="R22" s="98">
        <f t="shared" ca="1" si="21"/>
        <v>3</v>
      </c>
      <c r="S22" s="98">
        <f t="shared" ca="1" si="21"/>
        <v>3</v>
      </c>
      <c r="T22" s="98">
        <f t="shared" ca="1" si="21"/>
        <v>3</v>
      </c>
      <c r="U22" s="98">
        <f t="shared" ca="1" si="21"/>
        <v>3</v>
      </c>
      <c r="V22" s="98">
        <f t="shared" ca="1" si="21"/>
        <v>4</v>
      </c>
      <c r="W22" s="98">
        <f t="shared" ca="1" si="21"/>
        <v>4</v>
      </c>
      <c r="X22" s="98">
        <f t="shared" ca="1" si="21"/>
        <v>3</v>
      </c>
      <c r="Y22" s="98">
        <f t="shared" ca="1" si="21"/>
        <v>3</v>
      </c>
      <c r="Z22" s="98">
        <f t="shared" ca="1" si="21"/>
        <v>2</v>
      </c>
      <c r="AA22" s="98">
        <f t="shared" ca="1" si="21"/>
        <v>2</v>
      </c>
      <c r="AB22" s="98">
        <f t="shared" ca="1" si="21"/>
        <v>3</v>
      </c>
      <c r="AC22" s="98">
        <f t="shared" ca="1" si="21"/>
        <v>3</v>
      </c>
      <c r="AD22" s="98">
        <f t="shared" ca="1" si="21"/>
        <v>3</v>
      </c>
      <c r="AE22" s="98">
        <f t="shared" ca="1" si="21"/>
        <v>3</v>
      </c>
      <c r="AF22" s="98">
        <f t="shared" ca="1" si="21"/>
        <v>3</v>
      </c>
      <c r="AG22" s="98">
        <f t="shared" ca="1" si="21"/>
        <v>3</v>
      </c>
      <c r="AH22" s="98">
        <f t="shared" ca="1" si="21"/>
        <v>3</v>
      </c>
      <c r="AI22" s="98">
        <f t="shared" ca="1" si="21"/>
        <v>3</v>
      </c>
    </row>
    <row r="23" spans="1:35" x14ac:dyDescent="0.55000000000000004">
      <c r="B23" s="4" t="s">
        <v>54</v>
      </c>
      <c r="F23" s="86" t="s">
        <v>29</v>
      </c>
      <c r="H23" s="133">
        <f ca="1">Ctrl!H57</f>
        <v>2500</v>
      </c>
      <c r="L23" s="98">
        <f ca="1">ROUNDDOWN(L30/$H23,0)</f>
        <v>1</v>
      </c>
      <c r="M23" s="98">
        <f t="shared" ref="M23:AI23" ca="1" si="22">ROUNDDOWN(M30/$H23,0)</f>
        <v>2</v>
      </c>
      <c r="N23" s="98">
        <f t="shared" ca="1" si="22"/>
        <v>3</v>
      </c>
      <c r="O23" s="98">
        <f t="shared" ca="1" si="22"/>
        <v>3</v>
      </c>
      <c r="P23" s="98">
        <f t="shared" ca="1" si="22"/>
        <v>3</v>
      </c>
      <c r="Q23" s="98">
        <f t="shared" ca="1" si="22"/>
        <v>3</v>
      </c>
      <c r="R23" s="98">
        <f t="shared" ca="1" si="22"/>
        <v>3</v>
      </c>
      <c r="S23" s="98">
        <f t="shared" ca="1" si="22"/>
        <v>3</v>
      </c>
      <c r="T23" s="98">
        <f t="shared" ca="1" si="22"/>
        <v>3</v>
      </c>
      <c r="U23" s="98">
        <f t="shared" ca="1" si="22"/>
        <v>3</v>
      </c>
      <c r="V23" s="98">
        <f t="shared" ca="1" si="22"/>
        <v>3</v>
      </c>
      <c r="W23" s="98">
        <f t="shared" ca="1" si="22"/>
        <v>3</v>
      </c>
      <c r="X23" s="98">
        <f t="shared" ca="1" si="22"/>
        <v>3</v>
      </c>
      <c r="Y23" s="98">
        <f t="shared" ca="1" si="22"/>
        <v>3</v>
      </c>
      <c r="Z23" s="98">
        <f t="shared" ca="1" si="22"/>
        <v>3</v>
      </c>
      <c r="AA23" s="98">
        <f t="shared" ca="1" si="22"/>
        <v>4</v>
      </c>
      <c r="AB23" s="98">
        <f t="shared" ca="1" si="22"/>
        <v>4</v>
      </c>
      <c r="AC23" s="98">
        <f t="shared" ca="1" si="22"/>
        <v>4</v>
      </c>
      <c r="AD23" s="98">
        <f t="shared" ca="1" si="22"/>
        <v>4</v>
      </c>
      <c r="AE23" s="98">
        <f t="shared" ca="1" si="22"/>
        <v>4</v>
      </c>
      <c r="AF23" s="98">
        <f t="shared" ca="1" si="22"/>
        <v>5</v>
      </c>
      <c r="AG23" s="98">
        <f t="shared" ca="1" si="22"/>
        <v>5</v>
      </c>
      <c r="AH23" s="98">
        <f t="shared" ca="1" si="22"/>
        <v>5</v>
      </c>
      <c r="AI23" s="98">
        <f t="shared" ca="1" si="22"/>
        <v>6</v>
      </c>
    </row>
    <row r="24" spans="1:35" x14ac:dyDescent="0.55000000000000004">
      <c r="B24" s="4" t="s">
        <v>78</v>
      </c>
      <c r="F24" s="86" t="s">
        <v>29</v>
      </c>
      <c r="H24" s="133">
        <f ca="1">Ctrl!H58</f>
        <v>20</v>
      </c>
      <c r="K24" s="134">
        <v>1</v>
      </c>
      <c r="L24" s="98">
        <f ca="1">K24+(MOD(L98,20)=0)</f>
        <v>1</v>
      </c>
      <c r="M24" s="98">
        <f t="shared" ref="M24:AI24" ca="1" si="23">L24+(MOD(M98,20)=0)</f>
        <v>1</v>
      </c>
      <c r="N24" s="98">
        <f t="shared" ca="1" si="23"/>
        <v>1</v>
      </c>
      <c r="O24" s="98">
        <f t="shared" ca="1" si="23"/>
        <v>1</v>
      </c>
      <c r="P24" s="98">
        <f t="shared" ca="1" si="23"/>
        <v>1</v>
      </c>
      <c r="Q24" s="98">
        <f t="shared" ca="1" si="23"/>
        <v>1</v>
      </c>
      <c r="R24" s="98">
        <f t="shared" ca="1" si="23"/>
        <v>1</v>
      </c>
      <c r="S24" s="98">
        <f t="shared" ca="1" si="23"/>
        <v>1</v>
      </c>
      <c r="T24" s="98">
        <f t="shared" ca="1" si="23"/>
        <v>1</v>
      </c>
      <c r="U24" s="98">
        <f t="shared" ca="1" si="23"/>
        <v>1</v>
      </c>
      <c r="V24" s="98">
        <f t="shared" ca="1" si="23"/>
        <v>1</v>
      </c>
      <c r="W24" s="98">
        <f t="shared" ca="1" si="23"/>
        <v>1</v>
      </c>
      <c r="X24" s="98">
        <f t="shared" ca="1" si="23"/>
        <v>1</v>
      </c>
      <c r="Y24" s="98">
        <f t="shared" ca="1" si="23"/>
        <v>1</v>
      </c>
      <c r="Z24" s="98">
        <f t="shared" ca="1" si="23"/>
        <v>1</v>
      </c>
      <c r="AA24" s="98">
        <f t="shared" ca="1" si="23"/>
        <v>1</v>
      </c>
      <c r="AB24" s="98">
        <f t="shared" ca="1" si="23"/>
        <v>1</v>
      </c>
      <c r="AC24" s="98">
        <f t="shared" ca="1" si="23"/>
        <v>1</v>
      </c>
      <c r="AD24" s="98">
        <f t="shared" ca="1" si="23"/>
        <v>1</v>
      </c>
      <c r="AE24" s="98">
        <f t="shared" ca="1" si="23"/>
        <v>1</v>
      </c>
      <c r="AF24" s="98">
        <f t="shared" ca="1" si="23"/>
        <v>1</v>
      </c>
      <c r="AG24" s="98">
        <f t="shared" ca="1" si="23"/>
        <v>1</v>
      </c>
      <c r="AH24" s="98">
        <f t="shared" ca="1" si="23"/>
        <v>1</v>
      </c>
      <c r="AI24" s="98">
        <f t="shared" ca="1" si="23"/>
        <v>2</v>
      </c>
    </row>
    <row r="26" spans="1:35" x14ac:dyDescent="0.55000000000000004">
      <c r="B26" s="4" t="s">
        <v>197</v>
      </c>
      <c r="F26" s="86" t="s">
        <v>29</v>
      </c>
      <c r="L26" s="135">
        <f ca="1">Ctrl!H34</f>
        <v>0.5</v>
      </c>
      <c r="M26" s="135">
        <f ca="1">Ctrl!H35</f>
        <v>0.3</v>
      </c>
      <c r="N26" s="135">
        <f ca="1">Ctrl!H36</f>
        <v>0.2</v>
      </c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</row>
    <row r="28" spans="1:35" x14ac:dyDescent="0.55000000000000004">
      <c r="A28" s="82" t="s">
        <v>10</v>
      </c>
      <c r="B28" s="83" t="s">
        <v>12</v>
      </c>
      <c r="C28" s="83"/>
      <c r="D28" s="83"/>
      <c r="E28" s="83"/>
      <c r="F28" s="84"/>
      <c r="G28" s="83"/>
      <c r="H28" s="85"/>
      <c r="I28" s="85"/>
      <c r="J28" s="85"/>
      <c r="K28" s="85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120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</row>
    <row r="29" spans="1:35" ht="3" customHeight="1" x14ac:dyDescent="0.55000000000000004"/>
    <row r="30" spans="1:35" x14ac:dyDescent="0.55000000000000004">
      <c r="B30" s="4" t="s">
        <v>55</v>
      </c>
      <c r="F30" s="86" t="s">
        <v>29</v>
      </c>
      <c r="L30" s="93">
        <f ca="1">SUM(L38,L48)</f>
        <v>4915</v>
      </c>
      <c r="M30" s="93">
        <f t="shared" ref="M30:AI30" ca="1" si="24">SUM(M38,M48)</f>
        <v>7249.625</v>
      </c>
      <c r="N30" s="93">
        <f t="shared" ca="1" si="24"/>
        <v>8386.21875</v>
      </c>
      <c r="O30" s="93">
        <f t="shared" ca="1" si="24"/>
        <v>8209.5859375</v>
      </c>
      <c r="P30" s="93">
        <f t="shared" ca="1" si="24"/>
        <v>8135.1390468749996</v>
      </c>
      <c r="Q30" s="93">
        <f t="shared" ca="1" si="24"/>
        <v>8152.8485598437492</v>
      </c>
      <c r="R30" s="93">
        <f t="shared" ca="1" si="24"/>
        <v>8254.5602717671864</v>
      </c>
      <c r="S30" s="93">
        <f t="shared" ca="1" si="24"/>
        <v>8433.7399566151089</v>
      </c>
      <c r="T30" s="93">
        <f t="shared" ca="1" si="24"/>
        <v>8685.2581495287523</v>
      </c>
      <c r="U30" s="93">
        <f t="shared" ca="1" si="24"/>
        <v>9005.209156553763</v>
      </c>
      <c r="V30" s="93">
        <f t="shared" ca="1" si="24"/>
        <v>9390.7592935868252</v>
      </c>
      <c r="W30" s="93">
        <f t="shared" ca="1" si="24"/>
        <v>9840.0201158010568</v>
      </c>
      <c r="X30" s="93">
        <f t="shared" ca="1" si="24"/>
        <v>9491.8180448208113</v>
      </c>
      <c r="Y30" s="93">
        <f t="shared" ca="1" si="24"/>
        <v>9489.8236007348951</v>
      </c>
      <c r="Z30" s="93">
        <f t="shared" ca="1" si="24"/>
        <v>9682.2665516464731</v>
      </c>
      <c r="AA30" s="93">
        <f t="shared" ca="1" si="24"/>
        <v>10130.982214292841</v>
      </c>
      <c r="AB30" s="93">
        <f t="shared" ca="1" si="24"/>
        <v>10618.972572719786</v>
      </c>
      <c r="AC30" s="93">
        <f t="shared" ca="1" si="24"/>
        <v>11145.952736222651</v>
      </c>
      <c r="AD30" s="93">
        <f t="shared" ca="1" si="24"/>
        <v>11711.943179593845</v>
      </c>
      <c r="AE30" s="93">
        <f t="shared" ca="1" si="24"/>
        <v>12317.23323582613</v>
      </c>
      <c r="AF30" s="93">
        <f t="shared" ca="1" si="24"/>
        <v>12962.350079668049</v>
      </c>
      <c r="AG30" s="93">
        <f t="shared" ca="1" si="24"/>
        <v>13648.032334911846</v>
      </c>
      <c r="AH30" s="93">
        <f t="shared" ca="1" si="24"/>
        <v>14375.207562201022</v>
      </c>
      <c r="AI30" s="93">
        <f t="shared" ca="1" si="24"/>
        <v>15144.972988815991</v>
      </c>
    </row>
    <row r="32" spans="1:35" x14ac:dyDescent="0.55000000000000004">
      <c r="B32" s="72" t="s">
        <v>14</v>
      </c>
    </row>
    <row r="33" spans="1:35" x14ac:dyDescent="0.55000000000000004">
      <c r="B33" s="4" t="s">
        <v>15</v>
      </c>
      <c r="F33" s="86" t="s">
        <v>29</v>
      </c>
      <c r="L33" s="93">
        <f>K38</f>
        <v>0</v>
      </c>
      <c r="M33" s="93">
        <f t="shared" ref="M33:AI33" ca="1" si="25">L38</f>
        <v>2457.5</v>
      </c>
      <c r="N33" s="93">
        <f t="shared" ca="1" si="25"/>
        <v>3317.625</v>
      </c>
      <c r="O33" s="93">
        <f t="shared" ca="1" si="25"/>
        <v>3471.21875</v>
      </c>
      <c r="P33" s="93">
        <f t="shared" ca="1" si="25"/>
        <v>2950.5359374999998</v>
      </c>
      <c r="Q33" s="93">
        <f t="shared" ca="1" si="25"/>
        <v>2507.9555468749995</v>
      </c>
      <c r="R33" s="93">
        <f t="shared" ca="1" si="25"/>
        <v>2131.7622148437495</v>
      </c>
      <c r="S33" s="93">
        <f t="shared" ca="1" si="25"/>
        <v>1811.9978826171869</v>
      </c>
      <c r="T33" s="93">
        <f t="shared" ca="1" si="25"/>
        <v>1540.1982002246091</v>
      </c>
      <c r="U33" s="93">
        <f t="shared" ca="1" si="25"/>
        <v>1309.1684701909176</v>
      </c>
      <c r="V33" s="93">
        <f t="shared" ca="1" si="25"/>
        <v>1112.7931996622801</v>
      </c>
      <c r="W33" s="93">
        <f t="shared" ca="1" si="25"/>
        <v>945.87421971293816</v>
      </c>
      <c r="X33" s="93">
        <f t="shared" ca="1" si="25"/>
        <v>803.99308675599752</v>
      </c>
      <c r="Y33" s="93">
        <f t="shared" ca="1" si="25"/>
        <v>683.39412374259791</v>
      </c>
      <c r="Z33" s="93">
        <f t="shared" ca="1" si="25"/>
        <v>580.88500518120827</v>
      </c>
      <c r="AA33" s="93">
        <f t="shared" ca="1" si="25"/>
        <v>493.75225440402698</v>
      </c>
      <c r="AB33" s="93">
        <f t="shared" ca="1" si="25"/>
        <v>419.6894162434229</v>
      </c>
      <c r="AC33" s="93">
        <f t="shared" ca="1" si="25"/>
        <v>356.73600380690948</v>
      </c>
      <c r="AD33" s="93">
        <f t="shared" ca="1" si="25"/>
        <v>303.22560323587311</v>
      </c>
      <c r="AE33" s="93">
        <f t="shared" ca="1" si="25"/>
        <v>257.74176275049217</v>
      </c>
      <c r="AF33" s="93">
        <f t="shared" ca="1" si="25"/>
        <v>219.08049833791836</v>
      </c>
      <c r="AG33" s="93">
        <f t="shared" ca="1" si="25"/>
        <v>186.2184235872306</v>
      </c>
      <c r="AH33" s="93">
        <f t="shared" ca="1" si="25"/>
        <v>158.285660049146</v>
      </c>
      <c r="AI33" s="93">
        <f t="shared" ca="1" si="25"/>
        <v>134.54281104177409</v>
      </c>
    </row>
    <row r="34" spans="1:35" x14ac:dyDescent="0.55000000000000004">
      <c r="B34" s="4" t="s">
        <v>19</v>
      </c>
      <c r="F34" s="86" t="s">
        <v>29</v>
      </c>
      <c r="I34" s="137"/>
      <c r="L34" s="138">
        <f ca="1">Ctrl!$H$31/2*L26</f>
        <v>2457.5</v>
      </c>
      <c r="M34" s="138">
        <f ca="1">Ctrl!$H$31/2*M26</f>
        <v>1474.5</v>
      </c>
      <c r="N34" s="138">
        <f ca="1">Ctrl!$H$31/2*N26</f>
        <v>983</v>
      </c>
      <c r="O34" s="93">
        <f t="shared" ref="O34:AI34" ca="1" si="26">O35*O33</f>
        <v>347.12187500000005</v>
      </c>
      <c r="P34" s="93">
        <f t="shared" ca="1" si="26"/>
        <v>295.05359375</v>
      </c>
      <c r="Q34" s="93">
        <f t="shared" ca="1" si="26"/>
        <v>250.79555468749996</v>
      </c>
      <c r="R34" s="93">
        <f t="shared" ca="1" si="26"/>
        <v>213.17622148437496</v>
      </c>
      <c r="S34" s="93">
        <f t="shared" ca="1" si="26"/>
        <v>181.19978826171871</v>
      </c>
      <c r="T34" s="93">
        <f t="shared" ca="1" si="26"/>
        <v>154.01982002246092</v>
      </c>
      <c r="U34" s="93">
        <f t="shared" ca="1" si="26"/>
        <v>130.91684701909176</v>
      </c>
      <c r="V34" s="93">
        <f t="shared" ca="1" si="26"/>
        <v>111.27931996622802</v>
      </c>
      <c r="W34" s="93">
        <f t="shared" ca="1" si="26"/>
        <v>94.587421971293821</v>
      </c>
      <c r="X34" s="93">
        <f t="shared" ca="1" si="26"/>
        <v>80.399308675599755</v>
      </c>
      <c r="Y34" s="93">
        <f t="shared" ca="1" si="26"/>
        <v>68.339412374259794</v>
      </c>
      <c r="Z34" s="93">
        <f t="shared" ca="1" si="26"/>
        <v>58.088500518120831</v>
      </c>
      <c r="AA34" s="93">
        <f t="shared" ca="1" si="26"/>
        <v>49.375225440402701</v>
      </c>
      <c r="AB34" s="93">
        <f t="shared" ca="1" si="26"/>
        <v>41.968941624342293</v>
      </c>
      <c r="AC34" s="93">
        <f t="shared" ca="1" si="26"/>
        <v>35.673600380690949</v>
      </c>
      <c r="AD34" s="93">
        <f t="shared" ca="1" si="26"/>
        <v>30.322560323587311</v>
      </c>
      <c r="AE34" s="93">
        <f t="shared" ca="1" si="26"/>
        <v>25.774176275049218</v>
      </c>
      <c r="AF34" s="93">
        <f t="shared" ca="1" si="26"/>
        <v>21.908049833791836</v>
      </c>
      <c r="AG34" s="93">
        <f t="shared" ca="1" si="26"/>
        <v>18.621842358723061</v>
      </c>
      <c r="AH34" s="93">
        <f t="shared" ca="1" si="26"/>
        <v>15.828566004914601</v>
      </c>
      <c r="AI34" s="93">
        <f t="shared" ca="1" si="26"/>
        <v>13.45428110417741</v>
      </c>
    </row>
    <row r="35" spans="1:35" x14ac:dyDescent="0.55000000000000004">
      <c r="B35" s="139" t="s">
        <v>20</v>
      </c>
      <c r="F35" s="86" t="s">
        <v>30</v>
      </c>
      <c r="L35" s="140">
        <f ca="1">Ctrl!H39</f>
        <v>0.1</v>
      </c>
      <c r="M35" s="141">
        <f ca="1">L35</f>
        <v>0.1</v>
      </c>
      <c r="N35" s="141">
        <f t="shared" ref="N35:AI37" ca="1" si="27">M35</f>
        <v>0.1</v>
      </c>
      <c r="O35" s="141">
        <f t="shared" ca="1" si="27"/>
        <v>0.1</v>
      </c>
      <c r="P35" s="141">
        <f t="shared" ca="1" si="27"/>
        <v>0.1</v>
      </c>
      <c r="Q35" s="141">
        <f t="shared" ca="1" si="27"/>
        <v>0.1</v>
      </c>
      <c r="R35" s="141">
        <f t="shared" ca="1" si="27"/>
        <v>0.1</v>
      </c>
      <c r="S35" s="141">
        <f t="shared" ca="1" si="27"/>
        <v>0.1</v>
      </c>
      <c r="T35" s="141">
        <f t="shared" ca="1" si="27"/>
        <v>0.1</v>
      </c>
      <c r="U35" s="141">
        <f t="shared" ca="1" si="27"/>
        <v>0.1</v>
      </c>
      <c r="V35" s="141">
        <f t="shared" ca="1" si="27"/>
        <v>0.1</v>
      </c>
      <c r="W35" s="141">
        <f t="shared" ca="1" si="27"/>
        <v>0.1</v>
      </c>
      <c r="X35" s="141">
        <f t="shared" ca="1" si="27"/>
        <v>0.1</v>
      </c>
      <c r="Y35" s="141">
        <f t="shared" ca="1" si="27"/>
        <v>0.1</v>
      </c>
      <c r="Z35" s="141">
        <f t="shared" ca="1" si="27"/>
        <v>0.1</v>
      </c>
      <c r="AA35" s="141">
        <f t="shared" ca="1" si="27"/>
        <v>0.1</v>
      </c>
      <c r="AB35" s="141">
        <f t="shared" ca="1" si="27"/>
        <v>0.1</v>
      </c>
      <c r="AC35" s="141">
        <f t="shared" ca="1" si="27"/>
        <v>0.1</v>
      </c>
      <c r="AD35" s="141">
        <f t="shared" ca="1" si="27"/>
        <v>0.1</v>
      </c>
      <c r="AE35" s="141">
        <f t="shared" ca="1" si="27"/>
        <v>0.1</v>
      </c>
      <c r="AF35" s="141">
        <f t="shared" ca="1" si="27"/>
        <v>0.1</v>
      </c>
      <c r="AG35" s="141">
        <f t="shared" ca="1" si="27"/>
        <v>0.1</v>
      </c>
      <c r="AH35" s="141">
        <f t="shared" ca="1" si="27"/>
        <v>0.1</v>
      </c>
      <c r="AI35" s="141">
        <f t="shared" ca="1" si="27"/>
        <v>0.1</v>
      </c>
    </row>
    <row r="36" spans="1:35" x14ac:dyDescent="0.55000000000000004">
      <c r="B36" s="4" t="s">
        <v>16</v>
      </c>
      <c r="F36" s="86" t="s">
        <v>29</v>
      </c>
      <c r="L36" s="93">
        <f ca="1">-L33*L37</f>
        <v>0</v>
      </c>
      <c r="M36" s="93">
        <f t="shared" ref="M36:AI36" ca="1" si="28">-M33*M37</f>
        <v>-614.375</v>
      </c>
      <c r="N36" s="93">
        <f t="shared" ca="1" si="28"/>
        <v>-829.40625</v>
      </c>
      <c r="O36" s="93">
        <f t="shared" ca="1" si="28"/>
        <v>-867.8046875</v>
      </c>
      <c r="P36" s="93">
        <f t="shared" ca="1" si="28"/>
        <v>-737.63398437499995</v>
      </c>
      <c r="Q36" s="93">
        <f t="shared" ca="1" si="28"/>
        <v>-626.98888671874988</v>
      </c>
      <c r="R36" s="93">
        <f t="shared" ca="1" si="28"/>
        <v>-532.94055371093737</v>
      </c>
      <c r="S36" s="93">
        <f t="shared" ca="1" si="28"/>
        <v>-452.99947065429672</v>
      </c>
      <c r="T36" s="93">
        <f t="shared" ca="1" si="28"/>
        <v>-385.04955005615227</v>
      </c>
      <c r="U36" s="93">
        <f t="shared" ca="1" si="28"/>
        <v>-327.29211754772939</v>
      </c>
      <c r="V36" s="93">
        <f t="shared" ca="1" si="28"/>
        <v>-278.19829991557003</v>
      </c>
      <c r="W36" s="93">
        <f t="shared" ca="1" si="28"/>
        <v>-236.46855492823454</v>
      </c>
      <c r="X36" s="93">
        <f t="shared" ca="1" si="28"/>
        <v>-200.99827168899938</v>
      </c>
      <c r="Y36" s="93">
        <f t="shared" ca="1" si="28"/>
        <v>-170.84853093564948</v>
      </c>
      <c r="Z36" s="93">
        <f t="shared" ca="1" si="28"/>
        <v>-145.22125129530207</v>
      </c>
      <c r="AA36" s="93">
        <f t="shared" ca="1" si="28"/>
        <v>-123.43806360100675</v>
      </c>
      <c r="AB36" s="93">
        <f t="shared" ca="1" si="28"/>
        <v>-104.92235406085572</v>
      </c>
      <c r="AC36" s="93">
        <f t="shared" ca="1" si="28"/>
        <v>-89.18400095172737</v>
      </c>
      <c r="AD36" s="93">
        <f t="shared" ca="1" si="28"/>
        <v>-75.806400808968277</v>
      </c>
      <c r="AE36" s="93">
        <f t="shared" ca="1" si="28"/>
        <v>-64.435440687623043</v>
      </c>
      <c r="AF36" s="93">
        <f t="shared" ca="1" si="28"/>
        <v>-54.770124584479589</v>
      </c>
      <c r="AG36" s="93">
        <f t="shared" ca="1" si="28"/>
        <v>-46.554605896807651</v>
      </c>
      <c r="AH36" s="93">
        <f t="shared" ca="1" si="28"/>
        <v>-39.571415012286501</v>
      </c>
      <c r="AI36" s="93">
        <f t="shared" ca="1" si="28"/>
        <v>-33.635702760443522</v>
      </c>
    </row>
    <row r="37" spans="1:35" x14ac:dyDescent="0.55000000000000004">
      <c r="B37" s="139" t="s">
        <v>26</v>
      </c>
      <c r="F37" s="86" t="s">
        <v>30</v>
      </c>
      <c r="L37" s="140">
        <f ca="1">Ctrl!H43</f>
        <v>0.25</v>
      </c>
      <c r="M37" s="141">
        <f ca="1">L37</f>
        <v>0.25</v>
      </c>
      <c r="N37" s="141">
        <f t="shared" ca="1" si="27"/>
        <v>0.25</v>
      </c>
      <c r="O37" s="141">
        <f t="shared" ca="1" si="27"/>
        <v>0.25</v>
      </c>
      <c r="P37" s="141">
        <f t="shared" ca="1" si="27"/>
        <v>0.25</v>
      </c>
      <c r="Q37" s="141">
        <f t="shared" ca="1" si="27"/>
        <v>0.25</v>
      </c>
      <c r="R37" s="141">
        <f t="shared" ca="1" si="27"/>
        <v>0.25</v>
      </c>
      <c r="S37" s="141">
        <f t="shared" ca="1" si="27"/>
        <v>0.25</v>
      </c>
      <c r="T37" s="141">
        <f t="shared" ca="1" si="27"/>
        <v>0.25</v>
      </c>
      <c r="U37" s="141">
        <f t="shared" ca="1" si="27"/>
        <v>0.25</v>
      </c>
      <c r="V37" s="141">
        <f t="shared" ca="1" si="27"/>
        <v>0.25</v>
      </c>
      <c r="W37" s="141">
        <f t="shared" ca="1" si="27"/>
        <v>0.25</v>
      </c>
      <c r="X37" s="141">
        <f t="shared" ca="1" si="27"/>
        <v>0.25</v>
      </c>
      <c r="Y37" s="141">
        <f t="shared" ca="1" si="27"/>
        <v>0.25</v>
      </c>
      <c r="Z37" s="141">
        <f t="shared" ca="1" si="27"/>
        <v>0.25</v>
      </c>
      <c r="AA37" s="141">
        <f t="shared" ca="1" si="27"/>
        <v>0.25</v>
      </c>
      <c r="AB37" s="141">
        <f t="shared" ca="1" si="27"/>
        <v>0.25</v>
      </c>
      <c r="AC37" s="141">
        <f t="shared" ca="1" si="27"/>
        <v>0.25</v>
      </c>
      <c r="AD37" s="141">
        <f t="shared" ca="1" si="27"/>
        <v>0.25</v>
      </c>
      <c r="AE37" s="141">
        <f t="shared" ca="1" si="27"/>
        <v>0.25</v>
      </c>
      <c r="AF37" s="141">
        <f t="shared" ca="1" si="27"/>
        <v>0.25</v>
      </c>
      <c r="AG37" s="141">
        <f t="shared" ca="1" si="27"/>
        <v>0.25</v>
      </c>
      <c r="AH37" s="141">
        <f t="shared" ca="1" si="27"/>
        <v>0.25</v>
      </c>
      <c r="AI37" s="141">
        <f t="shared" ca="1" si="27"/>
        <v>0.25</v>
      </c>
    </row>
    <row r="38" spans="1:35" x14ac:dyDescent="0.55000000000000004">
      <c r="B38" s="88" t="s">
        <v>17</v>
      </c>
      <c r="C38" s="142"/>
      <c r="D38" s="142"/>
      <c r="E38" s="142"/>
      <c r="F38" s="143" t="s">
        <v>29</v>
      </c>
      <c r="G38" s="142"/>
      <c r="H38" s="144"/>
      <c r="I38" s="144"/>
      <c r="J38" s="144"/>
      <c r="K38" s="145">
        <v>0</v>
      </c>
      <c r="L38" s="91">
        <f ca="1">SUM(L33:L34,L36)</f>
        <v>2457.5</v>
      </c>
      <c r="M38" s="91">
        <f t="shared" ref="M38:AI38" ca="1" si="29">SUM(M33:M34,M36)</f>
        <v>3317.625</v>
      </c>
      <c r="N38" s="91">
        <f t="shared" ca="1" si="29"/>
        <v>3471.21875</v>
      </c>
      <c r="O38" s="91">
        <f t="shared" ca="1" si="29"/>
        <v>2950.5359374999998</v>
      </c>
      <c r="P38" s="91">
        <f t="shared" ca="1" si="29"/>
        <v>2507.9555468749995</v>
      </c>
      <c r="Q38" s="91">
        <f t="shared" ca="1" si="29"/>
        <v>2131.7622148437495</v>
      </c>
      <c r="R38" s="91">
        <f t="shared" ca="1" si="29"/>
        <v>1811.9978826171869</v>
      </c>
      <c r="S38" s="91">
        <f t="shared" ca="1" si="29"/>
        <v>1540.1982002246091</v>
      </c>
      <c r="T38" s="91">
        <f t="shared" ca="1" si="29"/>
        <v>1309.1684701909176</v>
      </c>
      <c r="U38" s="91">
        <f t="shared" ca="1" si="29"/>
        <v>1112.7931996622801</v>
      </c>
      <c r="V38" s="91">
        <f t="shared" ca="1" si="29"/>
        <v>945.87421971293816</v>
      </c>
      <c r="W38" s="91">
        <f t="shared" ca="1" si="29"/>
        <v>803.99308675599752</v>
      </c>
      <c r="X38" s="91">
        <f t="shared" ca="1" si="29"/>
        <v>683.39412374259791</v>
      </c>
      <c r="Y38" s="91">
        <f t="shared" ca="1" si="29"/>
        <v>580.88500518120827</v>
      </c>
      <c r="Z38" s="91">
        <f t="shared" ca="1" si="29"/>
        <v>493.75225440402698</v>
      </c>
      <c r="AA38" s="91">
        <f t="shared" ca="1" si="29"/>
        <v>419.6894162434229</v>
      </c>
      <c r="AB38" s="91">
        <f t="shared" ca="1" si="29"/>
        <v>356.73600380690948</v>
      </c>
      <c r="AC38" s="91">
        <f t="shared" ca="1" si="29"/>
        <v>303.22560323587311</v>
      </c>
      <c r="AD38" s="91">
        <f t="shared" ca="1" si="29"/>
        <v>257.74176275049217</v>
      </c>
      <c r="AE38" s="91">
        <f t="shared" ca="1" si="29"/>
        <v>219.08049833791836</v>
      </c>
      <c r="AF38" s="91">
        <f t="shared" ca="1" si="29"/>
        <v>186.2184235872306</v>
      </c>
      <c r="AG38" s="91">
        <f t="shared" ca="1" si="29"/>
        <v>158.285660049146</v>
      </c>
      <c r="AH38" s="91">
        <f t="shared" ca="1" si="29"/>
        <v>134.54281104177409</v>
      </c>
      <c r="AI38" s="91">
        <f t="shared" ca="1" si="29"/>
        <v>114.36138938550796</v>
      </c>
    </row>
    <row r="39" spans="1:35" x14ac:dyDescent="0.55000000000000004">
      <c r="B39" s="139" t="s">
        <v>32</v>
      </c>
      <c r="F39" s="86" t="s">
        <v>30</v>
      </c>
      <c r="L39" s="136"/>
      <c r="M39" s="146">
        <f t="shared" ref="M39:AI39" ca="1" si="30">M38/L38-1</f>
        <v>0.35000000000000009</v>
      </c>
      <c r="N39" s="146">
        <f t="shared" ca="1" si="30"/>
        <v>4.629629629629628E-2</v>
      </c>
      <c r="O39" s="146">
        <f t="shared" ca="1" si="30"/>
        <v>-0.15000000000000002</v>
      </c>
      <c r="P39" s="146">
        <f t="shared" ca="1" si="30"/>
        <v>-0.15000000000000013</v>
      </c>
      <c r="Q39" s="146">
        <f t="shared" ca="1" si="30"/>
        <v>-0.15000000000000002</v>
      </c>
      <c r="R39" s="146">
        <f t="shared" ca="1" si="30"/>
        <v>-0.15000000000000013</v>
      </c>
      <c r="S39" s="146">
        <f t="shared" ca="1" si="30"/>
        <v>-0.14999999999999991</v>
      </c>
      <c r="T39" s="146">
        <f t="shared" ca="1" si="30"/>
        <v>-0.15000000000000013</v>
      </c>
      <c r="U39" s="146">
        <f t="shared" ca="1" si="30"/>
        <v>-0.1499999999999998</v>
      </c>
      <c r="V39" s="146">
        <f t="shared" ca="1" si="30"/>
        <v>-0.14999999999999991</v>
      </c>
      <c r="W39" s="146">
        <f t="shared" ca="1" si="30"/>
        <v>-0.14999999999999991</v>
      </c>
      <c r="X39" s="146">
        <f t="shared" ca="1" si="30"/>
        <v>-0.15000000000000002</v>
      </c>
      <c r="Y39" s="146">
        <f t="shared" ca="1" si="30"/>
        <v>-0.14999999999999991</v>
      </c>
      <c r="Z39" s="146">
        <f t="shared" ca="1" si="30"/>
        <v>-0.15000000000000013</v>
      </c>
      <c r="AA39" s="146">
        <f t="shared" ca="1" si="30"/>
        <v>-0.15000000000000013</v>
      </c>
      <c r="AB39" s="146">
        <f t="shared" ca="1" si="30"/>
        <v>-0.14999999999999991</v>
      </c>
      <c r="AC39" s="146">
        <f t="shared" ca="1" si="30"/>
        <v>-0.14999999999999991</v>
      </c>
      <c r="AD39" s="146">
        <f t="shared" ca="1" si="30"/>
        <v>-0.14999999999999991</v>
      </c>
      <c r="AE39" s="146">
        <f t="shared" ca="1" si="30"/>
        <v>-0.14999999999999991</v>
      </c>
      <c r="AF39" s="146">
        <f t="shared" ca="1" si="30"/>
        <v>-0.15000000000000002</v>
      </c>
      <c r="AG39" s="146">
        <f t="shared" ca="1" si="30"/>
        <v>-0.15000000000000002</v>
      </c>
      <c r="AH39" s="146">
        <f t="shared" ca="1" si="30"/>
        <v>-0.15000000000000013</v>
      </c>
      <c r="AI39" s="146">
        <f t="shared" ca="1" si="30"/>
        <v>-0.15000000000000013</v>
      </c>
    </row>
    <row r="40" spans="1:35" x14ac:dyDescent="0.55000000000000004">
      <c r="B40" s="139" t="s">
        <v>33</v>
      </c>
      <c r="F40" s="86" t="s">
        <v>30</v>
      </c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46">
        <f ca="1">X38/L38-1</f>
        <v>-0.72191490386872925</v>
      </c>
      <c r="Y40" s="146">
        <f t="shared" ref="Y40" ca="1" si="31">Y38/M38-1</f>
        <v>-0.82490938391734803</v>
      </c>
      <c r="Z40" s="146">
        <f t="shared" ref="Z40" ca="1" si="32">Z38/N38-1</f>
        <v>-0.85775824286382785</v>
      </c>
      <c r="AA40" s="146">
        <f t="shared" ref="AA40" ca="1" si="33">AA38/O38-1</f>
        <v>-0.85775824286382785</v>
      </c>
      <c r="AB40" s="146">
        <f t="shared" ref="AB40" ca="1" si="34">AB38/P38-1</f>
        <v>-0.85775824286382785</v>
      </c>
      <c r="AC40" s="146">
        <f t="shared" ref="AC40" ca="1" si="35">AC38/Q38-1</f>
        <v>-0.85775824286382785</v>
      </c>
      <c r="AD40" s="146">
        <f t="shared" ref="AD40" ca="1" si="36">AD38/R38-1</f>
        <v>-0.85775824286382774</v>
      </c>
      <c r="AE40" s="146">
        <f t="shared" ref="AE40" ca="1" si="37">AE38/S38-1</f>
        <v>-0.85775824286382785</v>
      </c>
      <c r="AF40" s="146">
        <f t="shared" ref="AF40" ca="1" si="38">AF38/T38-1</f>
        <v>-0.85775824286382774</v>
      </c>
      <c r="AG40" s="146">
        <f t="shared" ref="AG40" ca="1" si="39">AG38/U38-1</f>
        <v>-0.85775824286382785</v>
      </c>
      <c r="AH40" s="146">
        <f t="shared" ref="AH40" ca="1" si="40">AH38/V38-1</f>
        <v>-0.85775824286382785</v>
      </c>
      <c r="AI40" s="146">
        <f t="shared" ref="AI40" ca="1" si="41">AI38/W38-1</f>
        <v>-0.85775824286382785</v>
      </c>
    </row>
    <row r="41" spans="1:35" x14ac:dyDescent="0.55000000000000004">
      <c r="L41" s="106"/>
      <c r="M41" s="106"/>
      <c r="N41" s="98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</row>
    <row r="42" spans="1:35" x14ac:dyDescent="0.55000000000000004">
      <c r="B42" s="72" t="s">
        <v>18</v>
      </c>
    </row>
    <row r="43" spans="1:35" x14ac:dyDescent="0.55000000000000004">
      <c r="B43" s="4" t="s">
        <v>15</v>
      </c>
      <c r="F43" s="86" t="s">
        <v>29</v>
      </c>
      <c r="K43" s="126">
        <f>K48-K44</f>
        <v>0</v>
      </c>
      <c r="L43" s="93">
        <f>K48</f>
        <v>0</v>
      </c>
      <c r="M43" s="93">
        <f t="shared" ref="M43:AI43" ca="1" si="42">L48</f>
        <v>2457.5</v>
      </c>
      <c r="N43" s="93">
        <f t="shared" ca="1" si="42"/>
        <v>3932</v>
      </c>
      <c r="O43" s="93">
        <f t="shared" ca="1" si="42"/>
        <v>4915</v>
      </c>
      <c r="P43" s="93">
        <f t="shared" ca="1" si="42"/>
        <v>5259.05</v>
      </c>
      <c r="Q43" s="93">
        <f t="shared" ca="1" si="42"/>
        <v>5627.1835000000001</v>
      </c>
      <c r="R43" s="93">
        <f t="shared" ca="1" si="42"/>
        <v>6021.0863449999997</v>
      </c>
      <c r="S43" s="93">
        <f t="shared" ca="1" si="42"/>
        <v>6442.5623891499999</v>
      </c>
      <c r="T43" s="93">
        <f t="shared" ca="1" si="42"/>
        <v>6893.5417563905003</v>
      </c>
      <c r="U43" s="93">
        <f t="shared" ca="1" si="42"/>
        <v>7376.0896793378352</v>
      </c>
      <c r="V43" s="93">
        <f t="shared" ca="1" si="42"/>
        <v>7892.4159568914838</v>
      </c>
      <c r="W43" s="93">
        <f t="shared" ca="1" si="42"/>
        <v>8444.8850738738874</v>
      </c>
      <c r="X43" s="93">
        <f t="shared" ca="1" si="42"/>
        <v>9036.027029045059</v>
      </c>
      <c r="Y43" s="93">
        <f t="shared" ca="1" si="42"/>
        <v>8808.4239210782125</v>
      </c>
      <c r="Z43" s="93">
        <f t="shared" ca="1" si="42"/>
        <v>8908.9385955536873</v>
      </c>
      <c r="AA43" s="93">
        <f t="shared" ca="1" si="42"/>
        <v>9188.5142972424455</v>
      </c>
      <c r="AB43" s="93">
        <f t="shared" ca="1" si="42"/>
        <v>9711.2927980494169</v>
      </c>
      <c r="AC43" s="93">
        <f t="shared" ca="1" si="42"/>
        <v>10262.236568912876</v>
      </c>
      <c r="AD43" s="93">
        <f t="shared" ca="1" si="42"/>
        <v>10842.727132986778</v>
      </c>
      <c r="AE43" s="93">
        <f t="shared" ca="1" si="42"/>
        <v>11454.201416843352</v>
      </c>
      <c r="AF43" s="93">
        <f t="shared" ca="1" si="42"/>
        <v>12098.152737488212</v>
      </c>
      <c r="AG43" s="93">
        <f t="shared" ca="1" si="42"/>
        <v>12776.131656080819</v>
      </c>
      <c r="AH43" s="93">
        <f t="shared" ca="1" si="42"/>
        <v>13489.746674862699</v>
      </c>
      <c r="AI43" s="93">
        <f t="shared" ca="1" si="42"/>
        <v>14240.664751159247</v>
      </c>
    </row>
    <row r="44" spans="1:35" x14ac:dyDescent="0.55000000000000004">
      <c r="B44" s="4" t="s">
        <v>19</v>
      </c>
      <c r="F44" s="86" t="s">
        <v>29</v>
      </c>
      <c r="K44" s="126">
        <f>K48</f>
        <v>0</v>
      </c>
      <c r="L44" s="138">
        <f ca="1">Ctrl!$H$31/2*L26</f>
        <v>2457.5</v>
      </c>
      <c r="M44" s="138">
        <f ca="1">Ctrl!$H$31/2*M26</f>
        <v>1474.5</v>
      </c>
      <c r="N44" s="138">
        <f ca="1">Ctrl!$H$31/2*N26</f>
        <v>983</v>
      </c>
      <c r="O44" s="93">
        <f t="shared" ref="O44:AI44" ca="1" si="43">O45*O43</f>
        <v>344.05</v>
      </c>
      <c r="P44" s="93">
        <f t="shared" ca="1" si="43"/>
        <v>368.13350000000003</v>
      </c>
      <c r="Q44" s="93">
        <f t="shared" ca="1" si="43"/>
        <v>393.90284500000007</v>
      </c>
      <c r="R44" s="93">
        <f t="shared" ca="1" si="43"/>
        <v>421.47604415000001</v>
      </c>
      <c r="S44" s="93">
        <f t="shared" ca="1" si="43"/>
        <v>450.97936724050004</v>
      </c>
      <c r="T44" s="93">
        <f t="shared" ca="1" si="43"/>
        <v>482.54792294733505</v>
      </c>
      <c r="U44" s="93">
        <f t="shared" ca="1" si="43"/>
        <v>516.32627755364854</v>
      </c>
      <c r="V44" s="93">
        <f t="shared" ca="1" si="43"/>
        <v>552.46911698240388</v>
      </c>
      <c r="W44" s="93">
        <f t="shared" ca="1" si="43"/>
        <v>591.14195517117219</v>
      </c>
      <c r="X44" s="93">
        <f t="shared" ca="1" si="43"/>
        <v>632.52189203315413</v>
      </c>
      <c r="Y44" s="93">
        <f t="shared" ca="1" si="43"/>
        <v>616.58967447547491</v>
      </c>
      <c r="Z44" s="93">
        <f t="shared" ca="1" si="43"/>
        <v>623.62570168875811</v>
      </c>
      <c r="AA44" s="93">
        <f t="shared" ca="1" si="43"/>
        <v>643.19600080697126</v>
      </c>
      <c r="AB44" s="93">
        <f t="shared" ca="1" si="43"/>
        <v>679.79049586345923</v>
      </c>
      <c r="AC44" s="93">
        <f t="shared" ca="1" si="43"/>
        <v>718.35655982390142</v>
      </c>
      <c r="AD44" s="93">
        <f t="shared" ca="1" si="43"/>
        <v>758.99089930907451</v>
      </c>
      <c r="AE44" s="93">
        <f t="shared" ca="1" si="43"/>
        <v>801.79409917903479</v>
      </c>
      <c r="AF44" s="93">
        <f t="shared" ca="1" si="43"/>
        <v>846.87069162417492</v>
      </c>
      <c r="AG44" s="93">
        <f t="shared" ca="1" si="43"/>
        <v>894.32921592565742</v>
      </c>
      <c r="AH44" s="93">
        <f t="shared" ca="1" si="43"/>
        <v>944.28226724038905</v>
      </c>
      <c r="AI44" s="93">
        <f t="shared" ca="1" si="43"/>
        <v>996.84653258114736</v>
      </c>
    </row>
    <row r="45" spans="1:35" x14ac:dyDescent="0.55000000000000004">
      <c r="B45" s="139" t="s">
        <v>20</v>
      </c>
      <c r="F45" s="86" t="s">
        <v>30</v>
      </c>
      <c r="L45" s="147">
        <f ca="1">Ctrl!H40</f>
        <v>7.0000000000000007E-2</v>
      </c>
      <c r="M45" s="148">
        <f ca="1">L45</f>
        <v>7.0000000000000007E-2</v>
      </c>
      <c r="N45" s="148">
        <f t="shared" ref="N45:AI45" ca="1" si="44">M45</f>
        <v>7.0000000000000007E-2</v>
      </c>
      <c r="O45" s="148">
        <f t="shared" ca="1" si="44"/>
        <v>7.0000000000000007E-2</v>
      </c>
      <c r="P45" s="148">
        <f t="shared" ca="1" si="44"/>
        <v>7.0000000000000007E-2</v>
      </c>
      <c r="Q45" s="148">
        <f t="shared" ca="1" si="44"/>
        <v>7.0000000000000007E-2</v>
      </c>
      <c r="R45" s="148">
        <f t="shared" ca="1" si="44"/>
        <v>7.0000000000000007E-2</v>
      </c>
      <c r="S45" s="148">
        <f t="shared" ca="1" si="44"/>
        <v>7.0000000000000007E-2</v>
      </c>
      <c r="T45" s="148">
        <f t="shared" ca="1" si="44"/>
        <v>7.0000000000000007E-2</v>
      </c>
      <c r="U45" s="148">
        <f t="shared" ca="1" si="44"/>
        <v>7.0000000000000007E-2</v>
      </c>
      <c r="V45" s="148">
        <f t="shared" ca="1" si="44"/>
        <v>7.0000000000000007E-2</v>
      </c>
      <c r="W45" s="148">
        <f t="shared" ca="1" si="44"/>
        <v>7.0000000000000007E-2</v>
      </c>
      <c r="X45" s="148">
        <f t="shared" ca="1" si="44"/>
        <v>7.0000000000000007E-2</v>
      </c>
      <c r="Y45" s="148">
        <f t="shared" ca="1" si="44"/>
        <v>7.0000000000000007E-2</v>
      </c>
      <c r="Z45" s="148">
        <f t="shared" ca="1" si="44"/>
        <v>7.0000000000000007E-2</v>
      </c>
      <c r="AA45" s="148">
        <f t="shared" ca="1" si="44"/>
        <v>7.0000000000000007E-2</v>
      </c>
      <c r="AB45" s="148">
        <f t="shared" ca="1" si="44"/>
        <v>7.0000000000000007E-2</v>
      </c>
      <c r="AC45" s="148">
        <f t="shared" ca="1" si="44"/>
        <v>7.0000000000000007E-2</v>
      </c>
      <c r="AD45" s="148">
        <f t="shared" ca="1" si="44"/>
        <v>7.0000000000000007E-2</v>
      </c>
      <c r="AE45" s="148">
        <f t="shared" ca="1" si="44"/>
        <v>7.0000000000000007E-2</v>
      </c>
      <c r="AF45" s="148">
        <f t="shared" ca="1" si="44"/>
        <v>7.0000000000000007E-2</v>
      </c>
      <c r="AG45" s="148">
        <f t="shared" ca="1" si="44"/>
        <v>7.0000000000000007E-2</v>
      </c>
      <c r="AH45" s="148">
        <f t="shared" ca="1" si="44"/>
        <v>7.0000000000000007E-2</v>
      </c>
      <c r="AI45" s="148">
        <f t="shared" ca="1" si="44"/>
        <v>7.0000000000000007E-2</v>
      </c>
    </row>
    <row r="46" spans="1:35" x14ac:dyDescent="0.55000000000000004">
      <c r="B46" s="4" t="s">
        <v>16</v>
      </c>
      <c r="F46" s="86" t="s">
        <v>29</v>
      </c>
      <c r="L46" s="93">
        <f ca="1">IF(SUM($L17:L17)&gt;0,-OFFSET(L44,,-$H$17)*L47,0)</f>
        <v>0</v>
      </c>
      <c r="M46" s="93">
        <f ca="1">IF(SUM($L17:M17)&gt;0,-OFFSET(M44,,-$H$17)*M47,0)</f>
        <v>0</v>
      </c>
      <c r="N46" s="93">
        <f ca="1">IF(SUM($L17:N17)&gt;0,-OFFSET(N44,,-$H$17)*N47,0)</f>
        <v>0</v>
      </c>
      <c r="O46" s="93">
        <f ca="1">IF(SUM($L17:O17)&gt;0,-OFFSET(O44,,-$H$17)*O47,0)</f>
        <v>0</v>
      </c>
      <c r="P46" s="93">
        <f ca="1">IF(SUM($L17:P17)&gt;0,-OFFSET(P44,,-$H$17)*P47,0)</f>
        <v>0</v>
      </c>
      <c r="Q46" s="93">
        <f ca="1">IF(SUM($L17:Q17)&gt;0,-OFFSET(Q44,,-$H$17)*Q47,0)</f>
        <v>0</v>
      </c>
      <c r="R46" s="93">
        <f ca="1">IF(SUM($L17:R17)&gt;0,-OFFSET(R44,,-$H$17)*R47,0)</f>
        <v>0</v>
      </c>
      <c r="S46" s="93">
        <f ca="1">IF(SUM($L17:S17)&gt;0,-OFFSET(S44,,-$H$17)*S47,0)</f>
        <v>0</v>
      </c>
      <c r="T46" s="93">
        <f ca="1">IF(SUM($L17:T17)&gt;0,-OFFSET(T44,,-$H$17)*T47,0)</f>
        <v>0</v>
      </c>
      <c r="U46" s="93">
        <f ca="1">IF(SUM($L17:U17)&gt;0,-OFFSET(U44,,-$H$17)*U47,0)</f>
        <v>0</v>
      </c>
      <c r="V46" s="93">
        <f ca="1">IF(SUM($L17:V17)&gt;0,-OFFSET(V44,,-$H$17)*V47,0)</f>
        <v>0</v>
      </c>
      <c r="W46" s="93">
        <f ca="1">IF(SUM($L17:W17)&gt;0,-OFFSET(W44,,-$H$17)*W47,0)</f>
        <v>0</v>
      </c>
      <c r="X46" s="93">
        <f ca="1">IF(SUM($L17:X17)&gt;0,-OFFSET(X44,,-$H$17)*X47,0)</f>
        <v>-860.125</v>
      </c>
      <c r="Y46" s="93">
        <f ca="1">IF(SUM($L17:Y17)&gt;0,-OFFSET(Y44,,-$H$17)*Y47,0)</f>
        <v>-516.07499999999993</v>
      </c>
      <c r="Z46" s="93">
        <f ca="1">IF(SUM($L17:Z17)&gt;0,-OFFSET(Z44,,-$H$17)*Z47,0)</f>
        <v>-344.04999999999995</v>
      </c>
      <c r="AA46" s="93">
        <f ca="1">IF(SUM($L17:AA17)&gt;0,-OFFSET(AA44,,-$H$17)*AA47,0)</f>
        <v>-120.41749999999999</v>
      </c>
      <c r="AB46" s="93">
        <f ca="1">IF(SUM($L17:AB17)&gt;0,-OFFSET(AB44,,-$H$17)*AB47,0)</f>
        <v>-128.84672499999999</v>
      </c>
      <c r="AC46" s="93">
        <f ca="1">IF(SUM($L17:AC17)&gt;0,-OFFSET(AC44,,-$H$17)*AC47,0)</f>
        <v>-137.86599575000002</v>
      </c>
      <c r="AD46" s="93">
        <f ca="1">IF(SUM($L17:AD17)&gt;0,-OFFSET(AD44,,-$H$17)*AD47,0)</f>
        <v>-147.51661545249999</v>
      </c>
      <c r="AE46" s="93">
        <f ca="1">IF(SUM($L17:AE17)&gt;0,-OFFSET(AE44,,-$H$17)*AE47,0)</f>
        <v>-157.84277853417501</v>
      </c>
      <c r="AF46" s="93">
        <f ca="1">IF(SUM($L17:AF17)&gt;0,-OFFSET(AF44,,-$H$17)*AF47,0)</f>
        <v>-168.89177303156725</v>
      </c>
      <c r="AG46" s="93">
        <f ca="1">IF(SUM($L17:AG17)&gt;0,-OFFSET(AG44,,-$H$17)*AG47,0)</f>
        <v>-180.71419714377697</v>
      </c>
      <c r="AH46" s="93">
        <f ca="1">IF(SUM($L17:AH17)&gt;0,-OFFSET(AH44,,-$H$17)*AH47,0)</f>
        <v>-193.36419094384135</v>
      </c>
      <c r="AI46" s="93">
        <f ca="1">IF(SUM($L17:AI17)&gt;0,-OFFSET(AI44,,-$H$17)*AI47,0)</f>
        <v>-206.89968430991024</v>
      </c>
    </row>
    <row r="47" spans="1:35" x14ac:dyDescent="0.55000000000000004">
      <c r="B47" s="139" t="s">
        <v>26</v>
      </c>
      <c r="F47" s="86" t="s">
        <v>30</v>
      </c>
      <c r="H47" s="140">
        <f ca="1">Ctrl!H44</f>
        <v>0.35</v>
      </c>
      <c r="L47" s="148">
        <f ca="1">$H47*(SUM($L17:L17)&gt;0)</f>
        <v>0</v>
      </c>
      <c r="M47" s="148">
        <f ca="1">$H47*(SUM($L17:M17)&gt;0)</f>
        <v>0</v>
      </c>
      <c r="N47" s="148">
        <f ca="1">$H47*(SUM($L17:N17)&gt;0)</f>
        <v>0</v>
      </c>
      <c r="O47" s="148">
        <f ca="1">$H47*(SUM($L17:O17)&gt;0)</f>
        <v>0</v>
      </c>
      <c r="P47" s="148">
        <f ca="1">$H47*(SUM($L17:P17)&gt;0)</f>
        <v>0</v>
      </c>
      <c r="Q47" s="148">
        <f ca="1">$H47*(SUM($L17:Q17)&gt;0)</f>
        <v>0</v>
      </c>
      <c r="R47" s="148">
        <f ca="1">$H47*(SUM($L17:R17)&gt;0)</f>
        <v>0</v>
      </c>
      <c r="S47" s="148">
        <f ca="1">$H47*(SUM($L17:S17)&gt;0)</f>
        <v>0</v>
      </c>
      <c r="T47" s="148">
        <f ca="1">$H47*(SUM($L17:T17)&gt;0)</f>
        <v>0</v>
      </c>
      <c r="U47" s="148">
        <f ca="1">$H47*(SUM($L17:U17)&gt;0)</f>
        <v>0</v>
      </c>
      <c r="V47" s="148">
        <f ca="1">$H47*(SUM($L17:V17)&gt;0)</f>
        <v>0</v>
      </c>
      <c r="W47" s="148">
        <f ca="1">$H47*(SUM($L17:W17)&gt;0)</f>
        <v>0.35</v>
      </c>
      <c r="X47" s="148">
        <f ca="1">$H47*(SUM($L17:X17)&gt;0)</f>
        <v>0.35</v>
      </c>
      <c r="Y47" s="148">
        <f ca="1">$H47*(SUM($L17:Y17)&gt;0)</f>
        <v>0.35</v>
      </c>
      <c r="Z47" s="148">
        <f ca="1">$H47*(SUM($L17:Z17)&gt;0)</f>
        <v>0.35</v>
      </c>
      <c r="AA47" s="148">
        <f ca="1">$H47*(SUM($L17:AA17)&gt;0)</f>
        <v>0.35</v>
      </c>
      <c r="AB47" s="148">
        <f ca="1">$H47*(SUM($L17:AB17)&gt;0)</f>
        <v>0.35</v>
      </c>
      <c r="AC47" s="148">
        <f ca="1">$H47*(SUM($L17:AC17)&gt;0)</f>
        <v>0.35</v>
      </c>
      <c r="AD47" s="148">
        <f ca="1">$H47*(SUM($L17:AD17)&gt;0)</f>
        <v>0.35</v>
      </c>
      <c r="AE47" s="148">
        <f ca="1">$H47*(SUM($L17:AE17)&gt;0)</f>
        <v>0.35</v>
      </c>
      <c r="AF47" s="148">
        <f ca="1">$H47*(SUM($L17:AF17)&gt;0)</f>
        <v>0.35</v>
      </c>
      <c r="AG47" s="148">
        <f ca="1">$H47*(SUM($L17:AG17)&gt;0)</f>
        <v>0.35</v>
      </c>
      <c r="AH47" s="148">
        <f ca="1">$H47*(SUM($L17:AH17)&gt;0)</f>
        <v>0.35</v>
      </c>
      <c r="AI47" s="148">
        <f ca="1">$H47*(SUM($L17:AI17)&gt;0)</f>
        <v>0.35</v>
      </c>
    </row>
    <row r="48" spans="1:35" s="72" customFormat="1" x14ac:dyDescent="0.55000000000000004">
      <c r="A48" s="71"/>
      <c r="B48" s="88" t="s">
        <v>17</v>
      </c>
      <c r="C48" s="88"/>
      <c r="D48" s="88"/>
      <c r="E48" s="88"/>
      <c r="F48" s="143" t="s">
        <v>29</v>
      </c>
      <c r="G48" s="88"/>
      <c r="H48" s="90"/>
      <c r="I48" s="90"/>
      <c r="J48" s="90"/>
      <c r="K48" s="145">
        <v>0</v>
      </c>
      <c r="L48" s="91">
        <f ca="1">SUM(L43:L44,L46)</f>
        <v>2457.5</v>
      </c>
      <c r="M48" s="91">
        <f t="shared" ref="M48:AI48" ca="1" si="45">SUM(M43:M44,M46)</f>
        <v>3932</v>
      </c>
      <c r="N48" s="91">
        <f t="shared" ca="1" si="45"/>
        <v>4915</v>
      </c>
      <c r="O48" s="91">
        <f t="shared" ca="1" si="45"/>
        <v>5259.05</v>
      </c>
      <c r="P48" s="91">
        <f t="shared" ca="1" si="45"/>
        <v>5627.1835000000001</v>
      </c>
      <c r="Q48" s="91">
        <f t="shared" ca="1" si="45"/>
        <v>6021.0863449999997</v>
      </c>
      <c r="R48" s="91">
        <f t="shared" ca="1" si="45"/>
        <v>6442.5623891499999</v>
      </c>
      <c r="S48" s="91">
        <f t="shared" ca="1" si="45"/>
        <v>6893.5417563905003</v>
      </c>
      <c r="T48" s="91">
        <f t="shared" ca="1" si="45"/>
        <v>7376.0896793378352</v>
      </c>
      <c r="U48" s="91">
        <f t="shared" ca="1" si="45"/>
        <v>7892.4159568914838</v>
      </c>
      <c r="V48" s="91">
        <f t="shared" ca="1" si="45"/>
        <v>8444.8850738738874</v>
      </c>
      <c r="W48" s="91">
        <f t="shared" ca="1" si="45"/>
        <v>9036.027029045059</v>
      </c>
      <c r="X48" s="91">
        <f t="shared" ca="1" si="45"/>
        <v>8808.4239210782125</v>
      </c>
      <c r="Y48" s="91">
        <f t="shared" ca="1" si="45"/>
        <v>8908.9385955536873</v>
      </c>
      <c r="Z48" s="91">
        <f t="shared" ca="1" si="45"/>
        <v>9188.5142972424455</v>
      </c>
      <c r="AA48" s="91">
        <f t="shared" ca="1" si="45"/>
        <v>9711.2927980494169</v>
      </c>
      <c r="AB48" s="91">
        <f t="shared" ca="1" si="45"/>
        <v>10262.236568912876</v>
      </c>
      <c r="AC48" s="91">
        <f t="shared" ca="1" si="45"/>
        <v>10842.727132986778</v>
      </c>
      <c r="AD48" s="91">
        <f t="shared" ca="1" si="45"/>
        <v>11454.201416843352</v>
      </c>
      <c r="AE48" s="91">
        <f t="shared" ca="1" si="45"/>
        <v>12098.152737488212</v>
      </c>
      <c r="AF48" s="91">
        <f t="shared" ca="1" si="45"/>
        <v>12776.131656080819</v>
      </c>
      <c r="AG48" s="91">
        <f t="shared" ca="1" si="45"/>
        <v>13489.746674862699</v>
      </c>
      <c r="AH48" s="91">
        <f t="shared" ca="1" si="45"/>
        <v>14240.664751159247</v>
      </c>
      <c r="AI48" s="91">
        <f t="shared" ca="1" si="45"/>
        <v>15030.611599430484</v>
      </c>
    </row>
    <row r="49" spans="1:35" x14ac:dyDescent="0.55000000000000004">
      <c r="B49" s="139" t="s">
        <v>32</v>
      </c>
      <c r="F49" s="86" t="s">
        <v>30</v>
      </c>
      <c r="L49" s="136"/>
      <c r="M49" s="146">
        <f t="shared" ref="M49" ca="1" si="46">M48/L48-1</f>
        <v>0.60000000000000009</v>
      </c>
      <c r="N49" s="146">
        <f t="shared" ref="N49" ca="1" si="47">N48/M48-1</f>
        <v>0.25</v>
      </c>
      <c r="O49" s="146">
        <f t="shared" ref="O49" ca="1" si="48">O48/N48-1</f>
        <v>7.0000000000000062E-2</v>
      </c>
      <c r="P49" s="146">
        <f t="shared" ref="P49" ca="1" si="49">P48/O48-1</f>
        <v>7.0000000000000062E-2</v>
      </c>
      <c r="Q49" s="146">
        <f t="shared" ref="Q49" ca="1" si="50">Q48/P48-1</f>
        <v>6.999999999999984E-2</v>
      </c>
      <c r="R49" s="146">
        <f t="shared" ref="R49" ca="1" si="51">R48/Q48-1</f>
        <v>7.0000000000000062E-2</v>
      </c>
      <c r="S49" s="146">
        <f t="shared" ref="S49" ca="1" si="52">S48/R48-1</f>
        <v>7.0000000000000062E-2</v>
      </c>
      <c r="T49" s="146">
        <f t="shared" ref="T49" ca="1" si="53">T48/S48-1</f>
        <v>7.0000000000000062E-2</v>
      </c>
      <c r="U49" s="146">
        <f t="shared" ref="U49" ca="1" si="54">U48/T48-1</f>
        <v>7.0000000000000062E-2</v>
      </c>
      <c r="V49" s="146">
        <f t="shared" ref="V49" ca="1" si="55">V48/U48-1</f>
        <v>7.0000000000000062E-2</v>
      </c>
      <c r="W49" s="146">
        <f t="shared" ref="W49" ca="1" si="56">W48/V48-1</f>
        <v>6.999999999999984E-2</v>
      </c>
      <c r="X49" s="146">
        <f t="shared" ref="X49" ca="1" si="57">X48/W48-1</f>
        <v>-2.5188404952225962E-2</v>
      </c>
      <c r="Y49" s="146">
        <f t="shared" ref="Y49" ca="1" si="58">Y48/X48-1</f>
        <v>1.1411198572646608E-2</v>
      </c>
      <c r="Z49" s="146">
        <f t="shared" ref="Z49" ca="1" si="59">Z48/Y48-1</f>
        <v>3.1381482618848766E-2</v>
      </c>
      <c r="AA49" s="146">
        <f t="shared" ref="AA49" ca="1" si="60">AA48/Z48-1</f>
        <v>5.6894780145671842E-2</v>
      </c>
      <c r="AB49" s="146">
        <f t="shared" ref="AB49" ca="1" si="61">AB48/AA48-1</f>
        <v>5.6732278834607852E-2</v>
      </c>
      <c r="AC49" s="146">
        <f t="shared" ref="AC49" ca="1" si="62">AC48/AB48-1</f>
        <v>5.656569697802194E-2</v>
      </c>
      <c r="AD49" s="146">
        <f t="shared" ref="AD49" ca="1" si="63">AD48/AC48-1</f>
        <v>5.6394878922691793E-2</v>
      </c>
      <c r="AE49" s="146">
        <f t="shared" ref="AE49" ca="1" si="64">AE48/AD48-1</f>
        <v>5.6219660996875032E-2</v>
      </c>
      <c r="AF49" s="146">
        <f t="shared" ref="AF49" ca="1" si="65">AF48/AE48-1</f>
        <v>5.6039870987227181E-2</v>
      </c>
      <c r="AG49" s="146">
        <f t="shared" ref="AG49" ca="1" si="66">AG48/AF48-1</f>
        <v>5.5855327574229729E-2</v>
      </c>
      <c r="AH49" s="146">
        <f t="shared" ref="AH49" ca="1" si="67">AH48/AG48-1</f>
        <v>5.5665839722241595E-2</v>
      </c>
      <c r="AI49" s="146">
        <f t="shared" ref="AI49" ca="1" si="68">AI48/AH48-1</f>
        <v>5.5471206019854558E-2</v>
      </c>
    </row>
    <row r="50" spans="1:35" x14ac:dyDescent="0.55000000000000004">
      <c r="B50" s="139" t="s">
        <v>33</v>
      </c>
      <c r="F50" s="86" t="s">
        <v>30</v>
      </c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46">
        <f ca="1">X48/L48-1</f>
        <v>2.5843027145791302</v>
      </c>
      <c r="Y50" s="146">
        <f t="shared" ref="Y50:AI50" ca="1" si="69">Y48/M48-1</f>
        <v>1.2657524403747935</v>
      </c>
      <c r="Z50" s="146">
        <f t="shared" ca="1" si="69"/>
        <v>0.86948408896082308</v>
      </c>
      <c r="AA50" s="146">
        <f t="shared" ca="1" si="69"/>
        <v>0.84658689269914089</v>
      </c>
      <c r="AB50" s="146">
        <f t="shared" ca="1" si="69"/>
        <v>0.82368969643745871</v>
      </c>
      <c r="AC50" s="146">
        <f t="shared" ca="1" si="69"/>
        <v>0.80079250017577652</v>
      </c>
      <c r="AD50" s="146">
        <f t="shared" ca="1" si="69"/>
        <v>0.77789530391409434</v>
      </c>
      <c r="AE50" s="146">
        <f t="shared" ca="1" si="69"/>
        <v>0.75499810765241193</v>
      </c>
      <c r="AF50" s="146">
        <f t="shared" ca="1" si="69"/>
        <v>0.73210091139072975</v>
      </c>
      <c r="AG50" s="146">
        <f t="shared" ca="1" si="69"/>
        <v>0.70920371512904734</v>
      </c>
      <c r="AH50" s="146">
        <f t="shared" ca="1" si="69"/>
        <v>0.68630651886736516</v>
      </c>
      <c r="AI50" s="146">
        <f t="shared" ca="1" si="69"/>
        <v>0.66340932260568297</v>
      </c>
    </row>
    <row r="52" spans="1:35" x14ac:dyDescent="0.55000000000000004">
      <c r="A52" s="82" t="s">
        <v>10</v>
      </c>
      <c r="B52" s="83" t="s">
        <v>21</v>
      </c>
      <c r="C52" s="83"/>
      <c r="D52" s="83"/>
      <c r="E52" s="83"/>
      <c r="F52" s="84"/>
      <c r="G52" s="83"/>
      <c r="H52" s="85"/>
      <c r="I52" s="85"/>
      <c r="J52" s="85"/>
      <c r="K52" s="85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</row>
    <row r="53" spans="1:35" ht="3" customHeight="1" x14ac:dyDescent="0.55000000000000004"/>
    <row r="54" spans="1:35" x14ac:dyDescent="0.55000000000000004">
      <c r="B54" s="72" t="s">
        <v>40</v>
      </c>
    </row>
    <row r="55" spans="1:35" x14ac:dyDescent="0.55000000000000004">
      <c r="B55" s="4" t="s">
        <v>24</v>
      </c>
      <c r="F55" s="86" t="s">
        <v>41</v>
      </c>
      <c r="L55" s="93">
        <f ca="1">SUM(L62,L70)</f>
        <v>70.653124999999989</v>
      </c>
      <c r="M55" s="93">
        <f t="shared" ref="M55:AI55" ca="1" si="70">SUM(M62,M70)</f>
        <v>174.48250000000002</v>
      </c>
      <c r="N55" s="93">
        <f t="shared" ca="1" si="70"/>
        <v>223.47890625000002</v>
      </c>
      <c r="O55" s="93">
        <f t="shared" ca="1" si="70"/>
        <v>236.21950781250001</v>
      </c>
      <c r="P55" s="93">
        <f t="shared" ca="1" si="70"/>
        <v>231.563082890625</v>
      </c>
      <c r="Q55" s="93">
        <f t="shared" ca="1" si="70"/>
        <v>229.75947679453122</v>
      </c>
      <c r="R55" s="93">
        <f t="shared" ca="1" si="70"/>
        <v>230.53157155647656</v>
      </c>
      <c r="S55" s="93">
        <f t="shared" ca="1" si="70"/>
        <v>233.65437324380883</v>
      </c>
      <c r="T55" s="93">
        <f t="shared" ca="1" si="70"/>
        <v>238.94793229749752</v>
      </c>
      <c r="U55" s="93">
        <f t="shared" ca="1" si="70"/>
        <v>246.27137754595111</v>
      </c>
      <c r="V55" s="93">
        <f t="shared" ca="1" si="70"/>
        <v>255.51790046365215</v>
      </c>
      <c r="W55" s="93">
        <f t="shared" ca="1" si="70"/>
        <v>266.61055101216954</v>
      </c>
      <c r="X55" s="93">
        <f t="shared" ca="1" si="70"/>
        <v>245.70810247167393</v>
      </c>
      <c r="Y55" s="93">
        <f t="shared" ca="1" si="70"/>
        <v>205.47176528754574</v>
      </c>
      <c r="Z55" s="93">
        <f t="shared" ca="1" si="70"/>
        <v>185.88947366972539</v>
      </c>
      <c r="AA55" s="93">
        <f t="shared" ca="1" si="70"/>
        <v>182.64340074497488</v>
      </c>
      <c r="AB55" s="93">
        <f t="shared" ca="1" si="70"/>
        <v>188.98669819023655</v>
      </c>
      <c r="AC55" s="93">
        <f t="shared" ca="1" si="70"/>
        <v>195.98626326707452</v>
      </c>
      <c r="AD55" s="93">
        <f t="shared" ca="1" si="70"/>
        <v>203.60341748849416</v>
      </c>
      <c r="AE55" s="93">
        <f t="shared" ca="1" si="70"/>
        <v>211.80577273761699</v>
      </c>
      <c r="AF55" s="93">
        <f t="shared" ca="1" si="70"/>
        <v>220.56606328362946</v>
      </c>
      <c r="AG55" s="93">
        <f t="shared" ca="1" si="70"/>
        <v>229.86111918121955</v>
      </c>
      <c r="AH55" s="93">
        <f t="shared" ca="1" si="70"/>
        <v>239.67095621170012</v>
      </c>
      <c r="AI55" s="93">
        <f t="shared" ca="1" si="70"/>
        <v>249.97796090718001</v>
      </c>
    </row>
    <row r="56" spans="1:35" x14ac:dyDescent="0.55000000000000004">
      <c r="B56" s="4" t="s">
        <v>36</v>
      </c>
      <c r="F56" s="86" t="s">
        <v>41</v>
      </c>
      <c r="L56" s="93">
        <f ca="1">SUM(L62,L68)</f>
        <v>442.35</v>
      </c>
      <c r="M56" s="93">
        <f t="shared" ref="M56:AI56" ca="1" si="71">SUM(M62,M68)</f>
        <v>735.40687500000001</v>
      </c>
      <c r="N56" s="93">
        <f t="shared" ca="1" si="71"/>
        <v>507.32015625000003</v>
      </c>
      <c r="O56" s="93">
        <f t="shared" ca="1" si="71"/>
        <v>315.28957031250002</v>
      </c>
      <c r="P56" s="93">
        <f t="shared" ca="1" si="71"/>
        <v>199.38764976562499</v>
      </c>
      <c r="Q56" s="93">
        <f t="shared" ca="1" si="71"/>
        <v>195.33176335078124</v>
      </c>
      <c r="R56" s="93">
        <f t="shared" ca="1" si="71"/>
        <v>193.69391817166408</v>
      </c>
      <c r="S56" s="93">
        <f t="shared" ca="1" si="71"/>
        <v>194.23808412205946</v>
      </c>
      <c r="T56" s="93">
        <f t="shared" ca="1" si="71"/>
        <v>196.77250293722568</v>
      </c>
      <c r="U56" s="93">
        <f t="shared" ca="1" si="71"/>
        <v>201.14366813046027</v>
      </c>
      <c r="V56" s="93">
        <f t="shared" ca="1" si="71"/>
        <v>207.23125138907687</v>
      </c>
      <c r="W56" s="93">
        <f t="shared" ca="1" si="71"/>
        <v>214.9438365023741</v>
      </c>
      <c r="X56" s="93">
        <f t="shared" ca="1" si="71"/>
        <v>224.21534294619278</v>
      </c>
      <c r="Y56" s="93">
        <f t="shared" ca="1" si="71"/>
        <v>225.06759540778089</v>
      </c>
      <c r="Z56" s="93">
        <f t="shared" ca="1" si="71"/>
        <v>220.75509596087699</v>
      </c>
      <c r="AA56" s="93">
        <f t="shared" ca="1" si="71"/>
        <v>222.72720597150709</v>
      </c>
      <c r="AB56" s="93">
        <f t="shared" ca="1" si="71"/>
        <v>229.93915325137601</v>
      </c>
      <c r="AC56" s="93">
        <f t="shared" ca="1" si="71"/>
        <v>240.59368829405625</v>
      </c>
      <c r="AD56" s="93">
        <f t="shared" ca="1" si="71"/>
        <v>252.1768412467365</v>
      </c>
      <c r="AE56" s="93">
        <f t="shared" ca="1" si="71"/>
        <v>264.68185866686417</v>
      </c>
      <c r="AF56" s="93">
        <f t="shared" ca="1" si="71"/>
        <v>278.10917431140683</v>
      </c>
      <c r="AG56" s="93">
        <f t="shared" ca="1" si="71"/>
        <v>292.46554600026803</v>
      </c>
      <c r="AH56" s="93">
        <f t="shared" ca="1" si="71"/>
        <v>307.76332178876146</v>
      </c>
      <c r="AI56" s="93">
        <f t="shared" ca="1" si="71"/>
        <v>324.01981497696272</v>
      </c>
    </row>
    <row r="57" spans="1:35" x14ac:dyDescent="0.55000000000000004">
      <c r="B57" s="4" t="s">
        <v>25</v>
      </c>
      <c r="F57" s="86" t="s">
        <v>41</v>
      </c>
      <c r="L57" s="93">
        <f t="shared" ref="L57:AI57" ca="1" si="72">SUM(L63,L71)</f>
        <v>847.83749999999986</v>
      </c>
      <c r="M57" s="93">
        <f t="shared" ca="1" si="72"/>
        <v>2093.79</v>
      </c>
      <c r="N57" s="93">
        <f t="shared" ca="1" si="72"/>
        <v>2681.7468749999998</v>
      </c>
      <c r="O57" s="93">
        <f t="shared" ca="1" si="72"/>
        <v>2834.6340937499999</v>
      </c>
      <c r="P57" s="93">
        <f t="shared" ca="1" si="72"/>
        <v>2778.7569946875001</v>
      </c>
      <c r="Q57" s="93">
        <f t="shared" ca="1" si="72"/>
        <v>2757.1137215343751</v>
      </c>
      <c r="R57" s="93">
        <f t="shared" ca="1" si="72"/>
        <v>2766.3788586777191</v>
      </c>
      <c r="S57" s="93">
        <f t="shared" ca="1" si="72"/>
        <v>2803.8524789257058</v>
      </c>
      <c r="T57" s="93">
        <f t="shared" ca="1" si="72"/>
        <v>2867.37518756997</v>
      </c>
      <c r="U57" s="93">
        <f t="shared" ca="1" si="72"/>
        <v>2955.2565305514136</v>
      </c>
      <c r="V57" s="93">
        <f t="shared" ca="1" si="72"/>
        <v>3066.2148055638258</v>
      </c>
      <c r="W57" s="93">
        <f t="shared" ca="1" si="72"/>
        <v>3199.3266121460347</v>
      </c>
      <c r="X57" s="93">
        <f t="shared" ca="1" si="72"/>
        <v>2948.4972296600868</v>
      </c>
      <c r="Y57" s="93">
        <f t="shared" ca="1" si="72"/>
        <v>2465.6611834505493</v>
      </c>
      <c r="Z57" s="93">
        <f t="shared" ca="1" si="72"/>
        <v>2230.6736840367048</v>
      </c>
      <c r="AA57" s="93">
        <f t="shared" ca="1" si="72"/>
        <v>2191.7208089396986</v>
      </c>
      <c r="AB57" s="93">
        <f t="shared" ca="1" si="72"/>
        <v>2267.8403782828386</v>
      </c>
      <c r="AC57" s="93">
        <f t="shared" ca="1" si="72"/>
        <v>2351.8351592048944</v>
      </c>
      <c r="AD57" s="93">
        <f t="shared" ca="1" si="72"/>
        <v>2443.2410098619298</v>
      </c>
      <c r="AE57" s="93">
        <f t="shared" ca="1" si="72"/>
        <v>2541.6692728514035</v>
      </c>
      <c r="AF57" s="93">
        <f t="shared" ca="1" si="72"/>
        <v>2646.7927594035532</v>
      </c>
      <c r="AG57" s="93">
        <f t="shared" ca="1" si="72"/>
        <v>2758.3334301746345</v>
      </c>
      <c r="AH57" s="93">
        <f t="shared" ca="1" si="72"/>
        <v>2876.0514745404016</v>
      </c>
      <c r="AI57" s="93">
        <f t="shared" ca="1" si="72"/>
        <v>2999.7355308861597</v>
      </c>
    </row>
    <row r="59" spans="1:35" x14ac:dyDescent="0.55000000000000004">
      <c r="B59" s="72" t="str">
        <f>B32</f>
        <v>MONTHLY PLAN</v>
      </c>
    </row>
    <row r="60" spans="1:35" x14ac:dyDescent="0.55000000000000004">
      <c r="B60" s="4" t="s">
        <v>22</v>
      </c>
      <c r="F60" s="86" t="s">
        <v>29</v>
      </c>
      <c r="L60" s="93">
        <f ca="1">AVERAGE(L33,L38)</f>
        <v>1228.75</v>
      </c>
      <c r="M60" s="93">
        <f t="shared" ref="M60:AI60" ca="1" si="73">AVERAGE(M33,M38)</f>
        <v>2887.5625</v>
      </c>
      <c r="N60" s="93">
        <f t="shared" ca="1" si="73"/>
        <v>3394.421875</v>
      </c>
      <c r="O60" s="93">
        <f t="shared" ca="1" si="73"/>
        <v>3210.8773437499999</v>
      </c>
      <c r="P60" s="93">
        <f t="shared" ca="1" si="73"/>
        <v>2729.2457421874997</v>
      </c>
      <c r="Q60" s="93">
        <f t="shared" ca="1" si="73"/>
        <v>2319.8588808593745</v>
      </c>
      <c r="R60" s="93">
        <f t="shared" ca="1" si="73"/>
        <v>1971.8800487304682</v>
      </c>
      <c r="S60" s="93">
        <f t="shared" ca="1" si="73"/>
        <v>1676.098041420898</v>
      </c>
      <c r="T60" s="93">
        <f t="shared" ca="1" si="73"/>
        <v>1424.6833352077633</v>
      </c>
      <c r="U60" s="93">
        <f t="shared" ca="1" si="73"/>
        <v>1210.9808349265988</v>
      </c>
      <c r="V60" s="93">
        <f t="shared" ca="1" si="73"/>
        <v>1029.3337096876091</v>
      </c>
      <c r="W60" s="93">
        <f t="shared" ca="1" si="73"/>
        <v>874.93365323446778</v>
      </c>
      <c r="X60" s="93">
        <f t="shared" ca="1" si="73"/>
        <v>743.69360524929766</v>
      </c>
      <c r="Y60" s="93">
        <f t="shared" ca="1" si="73"/>
        <v>632.13956446190309</v>
      </c>
      <c r="Z60" s="93">
        <f t="shared" ca="1" si="73"/>
        <v>537.31862979261768</v>
      </c>
      <c r="AA60" s="93">
        <f t="shared" ca="1" si="73"/>
        <v>456.72083532372494</v>
      </c>
      <c r="AB60" s="93">
        <f t="shared" ca="1" si="73"/>
        <v>388.21271002516619</v>
      </c>
      <c r="AC60" s="93">
        <f t="shared" ca="1" si="73"/>
        <v>329.98080352139129</v>
      </c>
      <c r="AD60" s="93">
        <f t="shared" ca="1" si="73"/>
        <v>280.48368299318264</v>
      </c>
      <c r="AE60" s="93">
        <f t="shared" ca="1" si="73"/>
        <v>238.41113054420526</v>
      </c>
      <c r="AF60" s="93">
        <f t="shared" ca="1" si="73"/>
        <v>202.64946096257449</v>
      </c>
      <c r="AG60" s="93">
        <f t="shared" ca="1" si="73"/>
        <v>172.2520418181883</v>
      </c>
      <c r="AH60" s="93">
        <f t="shared" ca="1" si="73"/>
        <v>146.41423554546003</v>
      </c>
      <c r="AI60" s="93">
        <f t="shared" ca="1" si="73"/>
        <v>124.45210021364102</v>
      </c>
    </row>
    <row r="61" spans="1:35" x14ac:dyDescent="0.55000000000000004">
      <c r="B61" s="4" t="s">
        <v>23</v>
      </c>
      <c r="F61" s="86" t="s">
        <v>31</v>
      </c>
      <c r="H61" s="149">
        <f ca="1">Ctrl!H51</f>
        <v>0</v>
      </c>
      <c r="L61" s="138">
        <f ca="1">Ctrl!H47</f>
        <v>30</v>
      </c>
      <c r="M61" s="150">
        <f ca="1">L61*(1+$H61*M$17)</f>
        <v>30</v>
      </c>
      <c r="N61" s="150">
        <f t="shared" ref="N61:AI61" ca="1" si="74">M61*(1+$H61*N$17)</f>
        <v>30</v>
      </c>
      <c r="O61" s="150">
        <f t="shared" ca="1" si="74"/>
        <v>30</v>
      </c>
      <c r="P61" s="150">
        <f t="shared" ca="1" si="74"/>
        <v>30</v>
      </c>
      <c r="Q61" s="150">
        <f t="shared" ca="1" si="74"/>
        <v>30</v>
      </c>
      <c r="R61" s="150">
        <f t="shared" ca="1" si="74"/>
        <v>30</v>
      </c>
      <c r="S61" s="150">
        <f t="shared" ca="1" si="74"/>
        <v>30</v>
      </c>
      <c r="T61" s="150">
        <f t="shared" ca="1" si="74"/>
        <v>30</v>
      </c>
      <c r="U61" s="150">
        <f t="shared" ca="1" si="74"/>
        <v>30</v>
      </c>
      <c r="V61" s="150">
        <f t="shared" ca="1" si="74"/>
        <v>30</v>
      </c>
      <c r="W61" s="150">
        <f t="shared" ca="1" si="74"/>
        <v>30</v>
      </c>
      <c r="X61" s="150">
        <f t="shared" ca="1" si="74"/>
        <v>30</v>
      </c>
      <c r="Y61" s="150">
        <f t="shared" ca="1" si="74"/>
        <v>30</v>
      </c>
      <c r="Z61" s="150">
        <f t="shared" ca="1" si="74"/>
        <v>30</v>
      </c>
      <c r="AA61" s="150">
        <f t="shared" ca="1" si="74"/>
        <v>30</v>
      </c>
      <c r="AB61" s="150">
        <f t="shared" ca="1" si="74"/>
        <v>30</v>
      </c>
      <c r="AC61" s="150">
        <f t="shared" ca="1" si="74"/>
        <v>30</v>
      </c>
      <c r="AD61" s="150">
        <f t="shared" ca="1" si="74"/>
        <v>30</v>
      </c>
      <c r="AE61" s="150">
        <f t="shared" ca="1" si="74"/>
        <v>30</v>
      </c>
      <c r="AF61" s="150">
        <f t="shared" ca="1" si="74"/>
        <v>30</v>
      </c>
      <c r="AG61" s="150">
        <f t="shared" ca="1" si="74"/>
        <v>30</v>
      </c>
      <c r="AH61" s="150">
        <f t="shared" ca="1" si="74"/>
        <v>30</v>
      </c>
      <c r="AI61" s="150">
        <f t="shared" ca="1" si="74"/>
        <v>30</v>
      </c>
    </row>
    <row r="62" spans="1:35" x14ac:dyDescent="0.55000000000000004">
      <c r="B62" s="88" t="s">
        <v>37</v>
      </c>
      <c r="C62" s="88"/>
      <c r="D62" s="88"/>
      <c r="E62" s="88"/>
      <c r="F62" s="89" t="s">
        <v>41</v>
      </c>
      <c r="G62" s="88"/>
      <c r="H62" s="151"/>
      <c r="I62" s="90"/>
      <c r="J62" s="90"/>
      <c r="K62" s="90"/>
      <c r="L62" s="152">
        <f ca="1">L60*L61/10^3</f>
        <v>36.862499999999997</v>
      </c>
      <c r="M62" s="152">
        <f t="shared" ref="M62:AI62" ca="1" si="75">M60*M61/10^3</f>
        <v>86.626874999999998</v>
      </c>
      <c r="N62" s="152">
        <f t="shared" ca="1" si="75"/>
        <v>101.83265625</v>
      </c>
      <c r="O62" s="152">
        <f t="shared" ca="1" si="75"/>
        <v>96.326320312500002</v>
      </c>
      <c r="P62" s="152">
        <f t="shared" ca="1" si="75"/>
        <v>81.877372265624984</v>
      </c>
      <c r="Q62" s="152">
        <f t="shared" ca="1" si="75"/>
        <v>69.595766425781235</v>
      </c>
      <c r="R62" s="152">
        <f t="shared" ca="1" si="75"/>
        <v>59.156401461914044</v>
      </c>
      <c r="S62" s="152">
        <f t="shared" ca="1" si="75"/>
        <v>50.28294124262694</v>
      </c>
      <c r="T62" s="152">
        <f t="shared" ca="1" si="75"/>
        <v>42.740500056232904</v>
      </c>
      <c r="U62" s="152">
        <f t="shared" ca="1" si="75"/>
        <v>36.329425047797969</v>
      </c>
      <c r="V62" s="152">
        <f t="shared" ca="1" si="75"/>
        <v>30.880011290628275</v>
      </c>
      <c r="W62" s="152">
        <f t="shared" ca="1" si="75"/>
        <v>26.248009597034034</v>
      </c>
      <c r="X62" s="152">
        <f t="shared" ca="1" si="75"/>
        <v>22.310808157478927</v>
      </c>
      <c r="Y62" s="152">
        <f t="shared" ca="1" si="75"/>
        <v>18.964186933857093</v>
      </c>
      <c r="Z62" s="152">
        <f t="shared" ca="1" si="75"/>
        <v>16.119558893778532</v>
      </c>
      <c r="AA62" s="152">
        <f t="shared" ca="1" si="75"/>
        <v>13.701625059711748</v>
      </c>
      <c r="AB62" s="152">
        <f t="shared" ca="1" si="75"/>
        <v>11.646381300754985</v>
      </c>
      <c r="AC62" s="152">
        <f t="shared" ca="1" si="75"/>
        <v>9.8994241056417387</v>
      </c>
      <c r="AD62" s="152">
        <f t="shared" ca="1" si="75"/>
        <v>8.4145104897954788</v>
      </c>
      <c r="AE62" s="152">
        <f t="shared" ca="1" si="75"/>
        <v>7.1523339163261577</v>
      </c>
      <c r="AF62" s="152">
        <f t="shared" ca="1" si="75"/>
        <v>6.079483828877235</v>
      </c>
      <c r="AG62" s="152">
        <f t="shared" ca="1" si="75"/>
        <v>5.1675612545456486</v>
      </c>
      <c r="AH62" s="152">
        <f t="shared" ca="1" si="75"/>
        <v>4.3924270663638012</v>
      </c>
      <c r="AI62" s="152">
        <f t="shared" ca="1" si="75"/>
        <v>3.7335630064092307</v>
      </c>
    </row>
    <row r="63" spans="1:35" s="153" customFormat="1" x14ac:dyDescent="0.55000000000000004">
      <c r="B63" s="139" t="s">
        <v>25</v>
      </c>
      <c r="F63" s="86" t="s">
        <v>41</v>
      </c>
      <c r="H63" s="154"/>
      <c r="I63" s="86"/>
      <c r="J63" s="86"/>
      <c r="K63" s="86"/>
      <c r="L63" s="155">
        <f ca="1">L62*12</f>
        <v>442.34999999999997</v>
      </c>
      <c r="M63" s="155">
        <f t="shared" ref="M63:AI63" ca="1" si="76">M62*12</f>
        <v>1039.5225</v>
      </c>
      <c r="N63" s="155">
        <f t="shared" ca="1" si="76"/>
        <v>1221.9918749999999</v>
      </c>
      <c r="O63" s="155">
        <f t="shared" ca="1" si="76"/>
        <v>1155.91584375</v>
      </c>
      <c r="P63" s="155">
        <f t="shared" ca="1" si="76"/>
        <v>982.52846718749981</v>
      </c>
      <c r="Q63" s="155">
        <f t="shared" ca="1" si="76"/>
        <v>835.14919710937488</v>
      </c>
      <c r="R63" s="155">
        <f t="shared" ca="1" si="76"/>
        <v>709.87681754296852</v>
      </c>
      <c r="S63" s="155">
        <f t="shared" ca="1" si="76"/>
        <v>603.39529491152325</v>
      </c>
      <c r="T63" s="155">
        <f t="shared" ca="1" si="76"/>
        <v>512.88600067479479</v>
      </c>
      <c r="U63" s="155">
        <f t="shared" ca="1" si="76"/>
        <v>435.95310057357563</v>
      </c>
      <c r="V63" s="155">
        <f t="shared" ca="1" si="76"/>
        <v>370.5601354875393</v>
      </c>
      <c r="W63" s="155">
        <f t="shared" ca="1" si="76"/>
        <v>314.97611516440838</v>
      </c>
      <c r="X63" s="155">
        <f t="shared" ca="1" si="76"/>
        <v>267.72969788974711</v>
      </c>
      <c r="Y63" s="155">
        <f t="shared" ca="1" si="76"/>
        <v>227.57024320628511</v>
      </c>
      <c r="Z63" s="155">
        <f t="shared" ca="1" si="76"/>
        <v>193.43470672534238</v>
      </c>
      <c r="AA63" s="155">
        <f t="shared" ca="1" si="76"/>
        <v>164.41950071654099</v>
      </c>
      <c r="AB63" s="155">
        <f t="shared" ca="1" si="76"/>
        <v>139.75657560905984</v>
      </c>
      <c r="AC63" s="155">
        <f t="shared" ca="1" si="76"/>
        <v>118.79308926770086</v>
      </c>
      <c r="AD63" s="155">
        <f t="shared" ca="1" si="76"/>
        <v>100.97412587754575</v>
      </c>
      <c r="AE63" s="155">
        <f t="shared" ca="1" si="76"/>
        <v>85.828006995913896</v>
      </c>
      <c r="AF63" s="155">
        <f t="shared" ca="1" si="76"/>
        <v>72.953805946526813</v>
      </c>
      <c r="AG63" s="155">
        <f t="shared" ca="1" si="76"/>
        <v>62.01073505454778</v>
      </c>
      <c r="AH63" s="155">
        <f t="shared" ca="1" si="76"/>
        <v>52.709124796365614</v>
      </c>
      <c r="AI63" s="155">
        <f t="shared" ca="1" si="76"/>
        <v>44.802756076910768</v>
      </c>
    </row>
    <row r="64" spans="1:35" x14ac:dyDescent="0.55000000000000004">
      <c r="H64" s="154"/>
    </row>
    <row r="65" spans="1:35" x14ac:dyDescent="0.55000000000000004">
      <c r="B65" s="72" t="s">
        <v>18</v>
      </c>
      <c r="H65" s="154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 spans="1:35" x14ac:dyDescent="0.55000000000000004">
      <c r="B66" s="4" t="s">
        <v>34</v>
      </c>
      <c r="F66" s="86" t="s">
        <v>29</v>
      </c>
      <c r="H66" s="154"/>
      <c r="K66" s="156"/>
      <c r="L66" s="93">
        <f ca="1">AVERAGE(K44:L44)</f>
        <v>1228.75</v>
      </c>
      <c r="M66" s="93">
        <f t="shared" ref="M66:AI66" ca="1" si="77">AVERAGE(L44:M44)</f>
        <v>1966</v>
      </c>
      <c r="N66" s="93">
        <f t="shared" ca="1" si="77"/>
        <v>1228.75</v>
      </c>
      <c r="O66" s="93">
        <f t="shared" ca="1" si="77"/>
        <v>663.52499999999998</v>
      </c>
      <c r="P66" s="93">
        <f t="shared" ca="1" si="77"/>
        <v>356.09175000000005</v>
      </c>
      <c r="Q66" s="93">
        <f t="shared" ca="1" si="77"/>
        <v>381.01817250000005</v>
      </c>
      <c r="R66" s="93">
        <f t="shared" ca="1" si="77"/>
        <v>407.68944457500004</v>
      </c>
      <c r="S66" s="93">
        <f t="shared" ca="1" si="77"/>
        <v>436.22770569525005</v>
      </c>
      <c r="T66" s="93">
        <f t="shared" ca="1" si="77"/>
        <v>466.76364509391755</v>
      </c>
      <c r="U66" s="93">
        <f t="shared" ca="1" si="77"/>
        <v>499.43710025049177</v>
      </c>
      <c r="V66" s="93">
        <f t="shared" ca="1" si="77"/>
        <v>534.39769726802615</v>
      </c>
      <c r="W66" s="93">
        <f t="shared" ca="1" si="77"/>
        <v>571.80553607678803</v>
      </c>
      <c r="X66" s="93">
        <f t="shared" ca="1" si="77"/>
        <v>611.83192360216322</v>
      </c>
      <c r="Y66" s="93">
        <f t="shared" ca="1" si="77"/>
        <v>624.55578325431452</v>
      </c>
      <c r="Z66" s="93">
        <f t="shared" ca="1" si="77"/>
        <v>620.10768808211651</v>
      </c>
      <c r="AA66" s="93">
        <f t="shared" ca="1" si="77"/>
        <v>633.41085124786468</v>
      </c>
      <c r="AB66" s="93">
        <f t="shared" ca="1" si="77"/>
        <v>661.49324833521518</v>
      </c>
      <c r="AC66" s="93">
        <f t="shared" ca="1" si="77"/>
        <v>699.07352784368027</v>
      </c>
      <c r="AD66" s="93">
        <f t="shared" ca="1" si="77"/>
        <v>738.67372956648796</v>
      </c>
      <c r="AE66" s="93">
        <f t="shared" ca="1" si="77"/>
        <v>780.39249924405465</v>
      </c>
      <c r="AF66" s="93">
        <f t="shared" ca="1" si="77"/>
        <v>824.3323954016048</v>
      </c>
      <c r="AG66" s="93">
        <f t="shared" ca="1" si="77"/>
        <v>870.59995377491623</v>
      </c>
      <c r="AH66" s="93">
        <f t="shared" ca="1" si="77"/>
        <v>919.30574158302329</v>
      </c>
      <c r="AI66" s="93">
        <f t="shared" ca="1" si="77"/>
        <v>970.5643999107682</v>
      </c>
    </row>
    <row r="67" spans="1:35" x14ac:dyDescent="0.55000000000000004">
      <c r="B67" s="4" t="s">
        <v>23</v>
      </c>
      <c r="F67" s="86" t="s">
        <v>31</v>
      </c>
      <c r="H67" s="149">
        <f ca="1">Ctrl!H52</f>
        <v>0</v>
      </c>
      <c r="L67" s="138">
        <f ca="1">Ctrl!H48</f>
        <v>330</v>
      </c>
      <c r="M67" s="150">
        <f ca="1">L67*(1+$H67*M$17)</f>
        <v>330</v>
      </c>
      <c r="N67" s="150">
        <f t="shared" ref="N67:AI67" ca="1" si="78">M67*(1+$H67*N$17)</f>
        <v>330</v>
      </c>
      <c r="O67" s="150">
        <f t="shared" ca="1" si="78"/>
        <v>330</v>
      </c>
      <c r="P67" s="150">
        <f t="shared" ca="1" si="78"/>
        <v>330</v>
      </c>
      <c r="Q67" s="150">
        <f t="shared" ca="1" si="78"/>
        <v>330</v>
      </c>
      <c r="R67" s="150">
        <f t="shared" ca="1" si="78"/>
        <v>330</v>
      </c>
      <c r="S67" s="150">
        <f t="shared" ca="1" si="78"/>
        <v>330</v>
      </c>
      <c r="T67" s="150">
        <f t="shared" ca="1" si="78"/>
        <v>330</v>
      </c>
      <c r="U67" s="150">
        <f t="shared" ca="1" si="78"/>
        <v>330</v>
      </c>
      <c r="V67" s="150">
        <f t="shared" ca="1" si="78"/>
        <v>330</v>
      </c>
      <c r="W67" s="150">
        <f t="shared" ca="1" si="78"/>
        <v>330</v>
      </c>
      <c r="X67" s="150">
        <f t="shared" ca="1" si="78"/>
        <v>330</v>
      </c>
      <c r="Y67" s="150">
        <f t="shared" ca="1" si="78"/>
        <v>330</v>
      </c>
      <c r="Z67" s="150">
        <f t="shared" ca="1" si="78"/>
        <v>330</v>
      </c>
      <c r="AA67" s="150">
        <f t="shared" ca="1" si="78"/>
        <v>330</v>
      </c>
      <c r="AB67" s="150">
        <f t="shared" ca="1" si="78"/>
        <v>330</v>
      </c>
      <c r="AC67" s="150">
        <f t="shared" ca="1" si="78"/>
        <v>330</v>
      </c>
      <c r="AD67" s="150">
        <f t="shared" ca="1" si="78"/>
        <v>330</v>
      </c>
      <c r="AE67" s="150">
        <f t="shared" ca="1" si="78"/>
        <v>330</v>
      </c>
      <c r="AF67" s="150">
        <f t="shared" ca="1" si="78"/>
        <v>330</v>
      </c>
      <c r="AG67" s="150">
        <f t="shared" ca="1" si="78"/>
        <v>330</v>
      </c>
      <c r="AH67" s="150">
        <f t="shared" ca="1" si="78"/>
        <v>330</v>
      </c>
      <c r="AI67" s="150">
        <f t="shared" ca="1" si="78"/>
        <v>330</v>
      </c>
    </row>
    <row r="68" spans="1:35" s="72" customFormat="1" x14ac:dyDescent="0.55000000000000004">
      <c r="A68" s="71"/>
      <c r="B68" s="88" t="s">
        <v>36</v>
      </c>
      <c r="C68" s="88"/>
      <c r="D68" s="88"/>
      <c r="E68" s="88"/>
      <c r="F68" s="89" t="s">
        <v>41</v>
      </c>
      <c r="G68" s="88"/>
      <c r="H68" s="90"/>
      <c r="I68" s="90"/>
      <c r="J68" s="90"/>
      <c r="K68" s="90"/>
      <c r="L68" s="91">
        <f t="shared" ref="L68:AI68" ca="1" si="79">L66*L67/10^3</f>
        <v>405.48750000000001</v>
      </c>
      <c r="M68" s="91">
        <f t="shared" ca="1" si="79"/>
        <v>648.78</v>
      </c>
      <c r="N68" s="91">
        <f t="shared" ca="1" si="79"/>
        <v>405.48750000000001</v>
      </c>
      <c r="O68" s="91">
        <f t="shared" ca="1" si="79"/>
        <v>218.96324999999999</v>
      </c>
      <c r="P68" s="91">
        <f t="shared" ca="1" si="79"/>
        <v>117.51027750000002</v>
      </c>
      <c r="Q68" s="91">
        <f t="shared" ca="1" si="79"/>
        <v>125.73599692500001</v>
      </c>
      <c r="R68" s="91">
        <f t="shared" ca="1" si="79"/>
        <v>134.53751670975004</v>
      </c>
      <c r="S68" s="91">
        <f t="shared" ca="1" si="79"/>
        <v>143.95514287943251</v>
      </c>
      <c r="T68" s="91">
        <f t="shared" ca="1" si="79"/>
        <v>154.03200288099279</v>
      </c>
      <c r="U68" s="91">
        <f t="shared" ca="1" si="79"/>
        <v>164.8142430826623</v>
      </c>
      <c r="V68" s="91">
        <f t="shared" ca="1" si="79"/>
        <v>176.35124009844861</v>
      </c>
      <c r="W68" s="91">
        <f t="shared" ca="1" si="79"/>
        <v>188.69582690534006</v>
      </c>
      <c r="X68" s="91">
        <f t="shared" ca="1" si="79"/>
        <v>201.90453478871385</v>
      </c>
      <c r="Y68" s="91">
        <f t="shared" ca="1" si="79"/>
        <v>206.10340847392379</v>
      </c>
      <c r="Z68" s="91">
        <f t="shared" ca="1" si="79"/>
        <v>204.63553706709845</v>
      </c>
      <c r="AA68" s="91">
        <f t="shared" ca="1" si="79"/>
        <v>209.02558091179534</v>
      </c>
      <c r="AB68" s="91">
        <f t="shared" ca="1" si="79"/>
        <v>218.29277195062102</v>
      </c>
      <c r="AC68" s="91">
        <f t="shared" ca="1" si="79"/>
        <v>230.69426418841451</v>
      </c>
      <c r="AD68" s="91">
        <f t="shared" ca="1" si="79"/>
        <v>243.76233075694103</v>
      </c>
      <c r="AE68" s="91">
        <f t="shared" ca="1" si="79"/>
        <v>257.52952475053803</v>
      </c>
      <c r="AF68" s="91">
        <f t="shared" ca="1" si="79"/>
        <v>272.02969048252959</v>
      </c>
      <c r="AG68" s="91">
        <f t="shared" ca="1" si="79"/>
        <v>287.29798474572237</v>
      </c>
      <c r="AH68" s="91">
        <f t="shared" ca="1" si="79"/>
        <v>303.37089472239768</v>
      </c>
      <c r="AI68" s="91">
        <f t="shared" ca="1" si="79"/>
        <v>320.28625197055351</v>
      </c>
    </row>
    <row r="69" spans="1:35" s="153" customFormat="1" x14ac:dyDescent="0.55000000000000004">
      <c r="B69" s="139" t="s">
        <v>43</v>
      </c>
      <c r="F69" s="86" t="s">
        <v>41</v>
      </c>
      <c r="H69" s="86"/>
      <c r="I69" s="86"/>
      <c r="J69" s="86"/>
      <c r="K69" s="86"/>
      <c r="L69" s="155">
        <f ca="1">L68/12</f>
        <v>33.790624999999999</v>
      </c>
      <c r="M69" s="155">
        <f t="shared" ref="M69:AI69" ca="1" si="80">M68/12</f>
        <v>54.064999999999998</v>
      </c>
      <c r="N69" s="155">
        <f t="shared" ca="1" si="80"/>
        <v>33.790624999999999</v>
      </c>
      <c r="O69" s="155">
        <f t="shared" ca="1" si="80"/>
        <v>18.246937499999998</v>
      </c>
      <c r="P69" s="155">
        <f t="shared" ca="1" si="80"/>
        <v>9.7925231250000007</v>
      </c>
      <c r="Q69" s="155">
        <f t="shared" ca="1" si="80"/>
        <v>10.477999743750001</v>
      </c>
      <c r="R69" s="155">
        <f t="shared" ca="1" si="80"/>
        <v>11.211459725812503</v>
      </c>
      <c r="S69" s="155">
        <f t="shared" ca="1" si="80"/>
        <v>11.996261906619376</v>
      </c>
      <c r="T69" s="155">
        <f t="shared" ca="1" si="80"/>
        <v>12.836000240082733</v>
      </c>
      <c r="U69" s="155">
        <f t="shared" ca="1" si="80"/>
        <v>13.734520256888525</v>
      </c>
      <c r="V69" s="155">
        <f t="shared" ca="1" si="80"/>
        <v>14.695936674870717</v>
      </c>
      <c r="W69" s="155">
        <f t="shared" ca="1" si="80"/>
        <v>15.724652242111672</v>
      </c>
      <c r="X69" s="155">
        <f t="shared" ca="1" si="80"/>
        <v>16.825377899059486</v>
      </c>
      <c r="Y69" s="155">
        <f t="shared" ca="1" si="80"/>
        <v>17.175284039493651</v>
      </c>
      <c r="Z69" s="155">
        <f t="shared" ca="1" si="80"/>
        <v>17.052961422258203</v>
      </c>
      <c r="AA69" s="155">
        <f t="shared" ca="1" si="80"/>
        <v>17.418798409316278</v>
      </c>
      <c r="AB69" s="155">
        <f t="shared" ca="1" si="80"/>
        <v>18.191064329218417</v>
      </c>
      <c r="AC69" s="155">
        <f t="shared" ca="1" si="80"/>
        <v>19.224522015701208</v>
      </c>
      <c r="AD69" s="155">
        <f t="shared" ca="1" si="80"/>
        <v>20.31352756307842</v>
      </c>
      <c r="AE69" s="155">
        <f t="shared" ca="1" si="80"/>
        <v>21.460793729211503</v>
      </c>
      <c r="AF69" s="155">
        <f t="shared" ca="1" si="80"/>
        <v>22.669140873544134</v>
      </c>
      <c r="AG69" s="155">
        <f t="shared" ca="1" si="80"/>
        <v>23.941498728810199</v>
      </c>
      <c r="AH69" s="155">
        <f t="shared" ca="1" si="80"/>
        <v>25.28090789353314</v>
      </c>
      <c r="AI69" s="155">
        <f t="shared" ca="1" si="80"/>
        <v>26.690520997546127</v>
      </c>
    </row>
    <row r="70" spans="1:35" s="153" customFormat="1" x14ac:dyDescent="0.55000000000000004">
      <c r="B70" s="139" t="s">
        <v>44</v>
      </c>
      <c r="F70" s="86" t="s">
        <v>41</v>
      </c>
      <c r="H70" s="86"/>
      <c r="I70" s="86"/>
      <c r="J70" s="86"/>
      <c r="K70" s="86"/>
      <c r="L70" s="155">
        <f ca="1">SUM(OFFSET(L69,,,,-L19))</f>
        <v>33.790624999999999</v>
      </c>
      <c r="M70" s="155">
        <f t="shared" ref="M70:AI70" ca="1" si="81">SUM(OFFSET(M69,,,,-M19))</f>
        <v>87.855625000000003</v>
      </c>
      <c r="N70" s="155">
        <f t="shared" ca="1" si="81"/>
        <v>121.64625000000001</v>
      </c>
      <c r="O70" s="155">
        <f t="shared" ca="1" si="81"/>
        <v>139.89318750000001</v>
      </c>
      <c r="P70" s="155">
        <f t="shared" ca="1" si="81"/>
        <v>149.68571062500001</v>
      </c>
      <c r="Q70" s="155">
        <f t="shared" ca="1" si="81"/>
        <v>160.16371036875</v>
      </c>
      <c r="R70" s="155">
        <f t="shared" ca="1" si="81"/>
        <v>171.37517009456252</v>
      </c>
      <c r="S70" s="155">
        <f t="shared" ca="1" si="81"/>
        <v>183.37143200118189</v>
      </c>
      <c r="T70" s="155">
        <f t="shared" ca="1" si="81"/>
        <v>196.20743224126463</v>
      </c>
      <c r="U70" s="155">
        <f t="shared" ca="1" si="81"/>
        <v>209.94195249815314</v>
      </c>
      <c r="V70" s="155">
        <f t="shared" ca="1" si="81"/>
        <v>224.63788917302386</v>
      </c>
      <c r="W70" s="155">
        <f t="shared" ca="1" si="81"/>
        <v>240.36254141513552</v>
      </c>
      <c r="X70" s="155">
        <f t="shared" ca="1" si="81"/>
        <v>223.39729431419499</v>
      </c>
      <c r="Y70" s="155">
        <f t="shared" ca="1" si="81"/>
        <v>186.50757835368864</v>
      </c>
      <c r="Z70" s="155">
        <f t="shared" ca="1" si="81"/>
        <v>169.76991477594686</v>
      </c>
      <c r="AA70" s="155">
        <f t="shared" ca="1" si="81"/>
        <v>168.94177568526314</v>
      </c>
      <c r="AB70" s="155">
        <f t="shared" ca="1" si="81"/>
        <v>177.34031688948156</v>
      </c>
      <c r="AC70" s="155">
        <f t="shared" ca="1" si="81"/>
        <v>186.08683916143278</v>
      </c>
      <c r="AD70" s="155">
        <f t="shared" ca="1" si="81"/>
        <v>195.18890699869868</v>
      </c>
      <c r="AE70" s="155">
        <f t="shared" ca="1" si="81"/>
        <v>204.65343882129082</v>
      </c>
      <c r="AF70" s="155">
        <f t="shared" ca="1" si="81"/>
        <v>214.48657945475222</v>
      </c>
      <c r="AG70" s="155">
        <f t="shared" ca="1" si="81"/>
        <v>224.69355792667389</v>
      </c>
      <c r="AH70" s="155">
        <f t="shared" ca="1" si="81"/>
        <v>235.27852914533631</v>
      </c>
      <c r="AI70" s="155">
        <f t="shared" ca="1" si="81"/>
        <v>246.24439790077076</v>
      </c>
    </row>
    <row r="71" spans="1:35" s="153" customFormat="1" x14ac:dyDescent="0.55000000000000004">
      <c r="B71" s="139" t="s">
        <v>25</v>
      </c>
      <c r="F71" s="86" t="s">
        <v>41</v>
      </c>
      <c r="H71" s="86"/>
      <c r="I71" s="86"/>
      <c r="J71" s="86"/>
      <c r="K71" s="86"/>
      <c r="L71" s="155">
        <f ca="1">L70*12</f>
        <v>405.48749999999995</v>
      </c>
      <c r="M71" s="155">
        <f t="shared" ref="M71:AI71" ca="1" si="82">M70*12</f>
        <v>1054.2674999999999</v>
      </c>
      <c r="N71" s="155">
        <f t="shared" ca="1" si="82"/>
        <v>1459.7550000000001</v>
      </c>
      <c r="O71" s="155">
        <f t="shared" ca="1" si="82"/>
        <v>1678.7182500000001</v>
      </c>
      <c r="P71" s="155">
        <f t="shared" ca="1" si="82"/>
        <v>1796.2285275000002</v>
      </c>
      <c r="Q71" s="155">
        <f t="shared" ca="1" si="82"/>
        <v>1921.964524425</v>
      </c>
      <c r="R71" s="155">
        <f t="shared" ca="1" si="82"/>
        <v>2056.5020411347505</v>
      </c>
      <c r="S71" s="155">
        <f t="shared" ca="1" si="82"/>
        <v>2200.4571840141825</v>
      </c>
      <c r="T71" s="155">
        <f t="shared" ca="1" si="82"/>
        <v>2354.4891868951754</v>
      </c>
      <c r="U71" s="155">
        <f t="shared" ca="1" si="82"/>
        <v>2519.3034299778378</v>
      </c>
      <c r="V71" s="155">
        <f t="shared" ca="1" si="82"/>
        <v>2695.6546700762865</v>
      </c>
      <c r="W71" s="155">
        <f t="shared" ca="1" si="82"/>
        <v>2884.3504969816263</v>
      </c>
      <c r="X71" s="155">
        <f t="shared" ca="1" si="82"/>
        <v>2680.7675317703397</v>
      </c>
      <c r="Y71" s="155">
        <f t="shared" ca="1" si="82"/>
        <v>2238.0909402442639</v>
      </c>
      <c r="Z71" s="155">
        <f t="shared" ca="1" si="82"/>
        <v>2037.2389773113623</v>
      </c>
      <c r="AA71" s="155">
        <f t="shared" ca="1" si="82"/>
        <v>2027.3013082231578</v>
      </c>
      <c r="AB71" s="155">
        <f t="shared" ca="1" si="82"/>
        <v>2128.0838026737788</v>
      </c>
      <c r="AC71" s="155">
        <f t="shared" ca="1" si="82"/>
        <v>2233.0420699371934</v>
      </c>
      <c r="AD71" s="155">
        <f t="shared" ca="1" si="82"/>
        <v>2342.2668839843841</v>
      </c>
      <c r="AE71" s="155">
        <f t="shared" ca="1" si="82"/>
        <v>2455.8412658554898</v>
      </c>
      <c r="AF71" s="155">
        <f t="shared" ca="1" si="82"/>
        <v>2573.8389534570265</v>
      </c>
      <c r="AG71" s="155">
        <f t="shared" ca="1" si="82"/>
        <v>2696.3226951200868</v>
      </c>
      <c r="AH71" s="155">
        <f t="shared" ca="1" si="82"/>
        <v>2823.3423497440358</v>
      </c>
      <c r="AI71" s="155">
        <f t="shared" ca="1" si="82"/>
        <v>2954.9327748092492</v>
      </c>
    </row>
    <row r="73" spans="1:35" x14ac:dyDescent="0.55000000000000004">
      <c r="A73" s="82" t="s">
        <v>10</v>
      </c>
      <c r="B73" s="83" t="s">
        <v>45</v>
      </c>
      <c r="C73" s="83"/>
      <c r="D73" s="83"/>
      <c r="E73" s="83"/>
      <c r="F73" s="84"/>
      <c r="G73" s="83"/>
      <c r="H73" s="85"/>
      <c r="I73" s="85"/>
      <c r="J73" s="85"/>
      <c r="K73" s="85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</row>
    <row r="74" spans="1:35" ht="3" customHeight="1" x14ac:dyDescent="0.55000000000000004"/>
    <row r="75" spans="1:35" x14ac:dyDescent="0.55000000000000004">
      <c r="B75" s="4" t="s">
        <v>45</v>
      </c>
      <c r="F75" s="86" t="s">
        <v>41</v>
      </c>
      <c r="L75" s="93">
        <f ca="1">SUM(L81,L86)</f>
        <v>-26.172375000000002</v>
      </c>
      <c r="M75" s="93">
        <f t="shared" ref="M75:AI75" ca="1" si="83">SUM(M81,M86)</f>
        <v>-50.354175000000005</v>
      </c>
      <c r="N75" s="93">
        <f t="shared" ca="1" si="83"/>
        <v>-47.110275000000001</v>
      </c>
      <c r="O75" s="93">
        <f t="shared" ca="1" si="83"/>
        <v>-40.957923749999999</v>
      </c>
      <c r="P75" s="93">
        <f t="shared" ca="1" si="83"/>
        <v>-35.763075937499998</v>
      </c>
      <c r="Q75" s="93">
        <f t="shared" ca="1" si="83"/>
        <v>-35.384407749374994</v>
      </c>
      <c r="R75" s="93">
        <f t="shared" ca="1" si="83"/>
        <v>-35.411545313643749</v>
      </c>
      <c r="S75" s="93">
        <f t="shared" ca="1" si="83"/>
        <v>-35.808048154139442</v>
      </c>
      <c r="T75" s="93">
        <f t="shared" ca="1" si="83"/>
        <v>-36.544651993188729</v>
      </c>
      <c r="U75" s="93">
        <f t="shared" ca="1" si="83"/>
        <v>-37.598312030732544</v>
      </c>
      <c r="V75" s="93">
        <f t="shared" ca="1" si="83"/>
        <v>-38.951398111201335</v>
      </c>
      <c r="W75" s="93">
        <f t="shared" ca="1" si="83"/>
        <v>-40.591019581555308</v>
      </c>
      <c r="X75" s="93">
        <f t="shared" ca="1" si="83"/>
        <v>-31.297270535553178</v>
      </c>
      <c r="Y75" s="93">
        <f t="shared" ca="1" si="83"/>
        <v>-27.299204390988002</v>
      </c>
      <c r="Z75" s="93">
        <f t="shared" ca="1" si="83"/>
        <v>-25.211600245798849</v>
      </c>
      <c r="AA75" s="93">
        <f t="shared" ca="1" si="83"/>
        <v>-24.946156253642702</v>
      </c>
      <c r="AB75" s="93">
        <f t="shared" ca="1" si="83"/>
        <v>-25.796844416564937</v>
      </c>
      <c r="AC75" s="93">
        <f t="shared" ca="1" si="83"/>
        <v>-26.81643697552914</v>
      </c>
      <c r="AD75" s="93">
        <f t="shared" ca="1" si="83"/>
        <v>-27.925646986251515</v>
      </c>
      <c r="AE75" s="93">
        <f t="shared" ca="1" si="83"/>
        <v>-29.121033033767624</v>
      </c>
      <c r="AF75" s="93">
        <f t="shared" ca="1" si="83"/>
        <v>-30.39988155770515</v>
      </c>
      <c r="AG75" s="93">
        <f t="shared" ca="1" si="83"/>
        <v>-31.760078298129997</v>
      </c>
      <c r="AH75" s="93">
        <f t="shared" ca="1" si="83"/>
        <v>-33.199995274832858</v>
      </c>
      <c r="AI75" s="93">
        <f t="shared" ca="1" si="83"/>
        <v>-34.718390540026881</v>
      </c>
    </row>
    <row r="77" spans="1:35" ht="3" customHeight="1" x14ac:dyDescent="0.55000000000000004"/>
    <row r="78" spans="1:35" x14ac:dyDescent="0.55000000000000004">
      <c r="B78" s="72" t="s">
        <v>38</v>
      </c>
    </row>
    <row r="79" spans="1:35" x14ac:dyDescent="0.55000000000000004">
      <c r="B79" s="157">
        <v>2024</v>
      </c>
      <c r="F79" s="86" t="s">
        <v>41</v>
      </c>
      <c r="H79" s="158">
        <v>0.04</v>
      </c>
      <c r="L79" s="93">
        <f t="shared" ref="L79:U80" ca="1" si="84">-$H79*L$56*(L$9=$B79)</f>
        <v>-17.694000000000003</v>
      </c>
      <c r="M79" s="93">
        <f t="shared" ca="1" si="84"/>
        <v>-29.416275000000002</v>
      </c>
      <c r="N79" s="93">
        <f t="shared" ca="1" si="84"/>
        <v>-20.292806250000002</v>
      </c>
      <c r="O79" s="93">
        <f t="shared" ca="1" si="84"/>
        <v>-12.611582812500002</v>
      </c>
      <c r="P79" s="93">
        <f t="shared" ca="1" si="84"/>
        <v>-7.9755059906249999</v>
      </c>
      <c r="Q79" s="93">
        <f t="shared" ca="1" si="84"/>
        <v>-7.8132705340312496</v>
      </c>
      <c r="R79" s="93">
        <f t="shared" ca="1" si="84"/>
        <v>-7.7477567268665632</v>
      </c>
      <c r="S79" s="93">
        <f t="shared" ca="1" si="84"/>
        <v>-7.7695233648823789</v>
      </c>
      <c r="T79" s="93">
        <f t="shared" ca="1" si="84"/>
        <v>-7.8709001174890272</v>
      </c>
      <c r="U79" s="93">
        <f t="shared" ca="1" si="84"/>
        <v>-8.0457467252184109</v>
      </c>
      <c r="V79" s="93">
        <f t="shared" ref="V79:AI80" ca="1" si="85">-$H79*V$56*(V$9=$B79)</f>
        <v>-8.289250055563075</v>
      </c>
      <c r="W79" s="93">
        <f t="shared" ca="1" si="85"/>
        <v>-8.5977534600949639</v>
      </c>
      <c r="X79" s="93">
        <f t="shared" ca="1" si="85"/>
        <v>0</v>
      </c>
      <c r="Y79" s="93">
        <f t="shared" ca="1" si="85"/>
        <v>0</v>
      </c>
      <c r="Z79" s="93">
        <f t="shared" ca="1" si="85"/>
        <v>0</v>
      </c>
      <c r="AA79" s="93">
        <f t="shared" ca="1" si="85"/>
        <v>0</v>
      </c>
      <c r="AB79" s="93">
        <f t="shared" ca="1" si="85"/>
        <v>0</v>
      </c>
      <c r="AC79" s="93">
        <f t="shared" ca="1" si="85"/>
        <v>0</v>
      </c>
      <c r="AD79" s="93">
        <f t="shared" ca="1" si="85"/>
        <v>0</v>
      </c>
      <c r="AE79" s="93">
        <f t="shared" ca="1" si="85"/>
        <v>0</v>
      </c>
      <c r="AF79" s="93">
        <f t="shared" ca="1" si="85"/>
        <v>0</v>
      </c>
      <c r="AG79" s="93">
        <f t="shared" ca="1" si="85"/>
        <v>0</v>
      </c>
      <c r="AH79" s="93">
        <f t="shared" ca="1" si="85"/>
        <v>0</v>
      </c>
      <c r="AI79" s="93">
        <f t="shared" ca="1" si="85"/>
        <v>0</v>
      </c>
    </row>
    <row r="80" spans="1:35" x14ac:dyDescent="0.55000000000000004">
      <c r="B80" s="157">
        <v>2025</v>
      </c>
      <c r="F80" s="86" t="s">
        <v>41</v>
      </c>
      <c r="H80" s="158">
        <v>0.03</v>
      </c>
      <c r="L80" s="93">
        <f t="shared" ca="1" si="84"/>
        <v>0</v>
      </c>
      <c r="M80" s="93">
        <f t="shared" ca="1" si="84"/>
        <v>0</v>
      </c>
      <c r="N80" s="93">
        <f t="shared" ca="1" si="84"/>
        <v>0</v>
      </c>
      <c r="O80" s="93">
        <f t="shared" ca="1" si="84"/>
        <v>0</v>
      </c>
      <c r="P80" s="93">
        <f t="shared" ca="1" si="84"/>
        <v>0</v>
      </c>
      <c r="Q80" s="93">
        <f t="shared" ca="1" si="84"/>
        <v>0</v>
      </c>
      <c r="R80" s="93">
        <f t="shared" ca="1" si="84"/>
        <v>0</v>
      </c>
      <c r="S80" s="93">
        <f t="shared" ca="1" si="84"/>
        <v>0</v>
      </c>
      <c r="T80" s="93">
        <f t="shared" ca="1" si="84"/>
        <v>0</v>
      </c>
      <c r="U80" s="93">
        <f t="shared" ca="1" si="84"/>
        <v>0</v>
      </c>
      <c r="V80" s="93">
        <f t="shared" ca="1" si="85"/>
        <v>0</v>
      </c>
      <c r="W80" s="93">
        <f t="shared" ca="1" si="85"/>
        <v>0</v>
      </c>
      <c r="X80" s="93">
        <f t="shared" ca="1" si="85"/>
        <v>-6.7264602883857831</v>
      </c>
      <c r="Y80" s="93">
        <f t="shared" ca="1" si="85"/>
        <v>-6.752027862233426</v>
      </c>
      <c r="Z80" s="93">
        <f t="shared" ca="1" si="85"/>
        <v>-6.622652878826309</v>
      </c>
      <c r="AA80" s="93">
        <f t="shared" ca="1" si="85"/>
        <v>-6.6818161791452129</v>
      </c>
      <c r="AB80" s="93">
        <f t="shared" ca="1" si="85"/>
        <v>-6.8981745975412805</v>
      </c>
      <c r="AC80" s="93">
        <f t="shared" ca="1" si="85"/>
        <v>-7.2178106488216871</v>
      </c>
      <c r="AD80" s="93">
        <f t="shared" ca="1" si="85"/>
        <v>-7.5653052374020948</v>
      </c>
      <c r="AE80" s="93">
        <f t="shared" ca="1" si="85"/>
        <v>-7.9404557600059249</v>
      </c>
      <c r="AF80" s="93">
        <f t="shared" ca="1" si="85"/>
        <v>-8.3432752293422041</v>
      </c>
      <c r="AG80" s="93">
        <f t="shared" ca="1" si="85"/>
        <v>-8.7739663800080407</v>
      </c>
      <c r="AH80" s="93">
        <f t="shared" ca="1" si="85"/>
        <v>-9.2328996536628427</v>
      </c>
      <c r="AI80" s="93">
        <f t="shared" ca="1" si="85"/>
        <v>-9.7205944493088818</v>
      </c>
    </row>
    <row r="81" spans="1:35" s="72" customFormat="1" x14ac:dyDescent="0.55000000000000004">
      <c r="A81" s="71"/>
      <c r="B81" s="88" t="s">
        <v>9</v>
      </c>
      <c r="C81" s="88"/>
      <c r="D81" s="88"/>
      <c r="E81" s="88"/>
      <c r="F81" s="89" t="s">
        <v>41</v>
      </c>
      <c r="G81" s="88"/>
      <c r="H81" s="159"/>
      <c r="I81" s="90"/>
      <c r="J81" s="90"/>
      <c r="K81" s="90"/>
      <c r="L81" s="91">
        <f ca="1">SUM(L79:L80)</f>
        <v>-17.694000000000003</v>
      </c>
      <c r="M81" s="91">
        <f t="shared" ref="M81:AI81" ca="1" si="86">SUM(M79:M80)</f>
        <v>-29.416275000000002</v>
      </c>
      <c r="N81" s="91">
        <f t="shared" ca="1" si="86"/>
        <v>-20.292806250000002</v>
      </c>
      <c r="O81" s="91">
        <f t="shared" ca="1" si="86"/>
        <v>-12.611582812500002</v>
      </c>
      <c r="P81" s="91">
        <f t="shared" ca="1" si="86"/>
        <v>-7.9755059906249999</v>
      </c>
      <c r="Q81" s="91">
        <f t="shared" ca="1" si="86"/>
        <v>-7.8132705340312496</v>
      </c>
      <c r="R81" s="91">
        <f t="shared" ca="1" si="86"/>
        <v>-7.7477567268665632</v>
      </c>
      <c r="S81" s="91">
        <f t="shared" ca="1" si="86"/>
        <v>-7.7695233648823789</v>
      </c>
      <c r="T81" s="91">
        <f t="shared" ca="1" si="86"/>
        <v>-7.8709001174890272</v>
      </c>
      <c r="U81" s="91">
        <f t="shared" ca="1" si="86"/>
        <v>-8.0457467252184109</v>
      </c>
      <c r="V81" s="91">
        <f t="shared" ca="1" si="86"/>
        <v>-8.289250055563075</v>
      </c>
      <c r="W81" s="91">
        <f t="shared" ca="1" si="86"/>
        <v>-8.5977534600949639</v>
      </c>
      <c r="X81" s="91">
        <f t="shared" ca="1" si="86"/>
        <v>-6.7264602883857831</v>
      </c>
      <c r="Y81" s="91">
        <f t="shared" ca="1" si="86"/>
        <v>-6.752027862233426</v>
      </c>
      <c r="Z81" s="91">
        <f t="shared" ca="1" si="86"/>
        <v>-6.622652878826309</v>
      </c>
      <c r="AA81" s="91">
        <f t="shared" ca="1" si="86"/>
        <v>-6.6818161791452129</v>
      </c>
      <c r="AB81" s="91">
        <f t="shared" ca="1" si="86"/>
        <v>-6.8981745975412805</v>
      </c>
      <c r="AC81" s="91">
        <f t="shared" ca="1" si="86"/>
        <v>-7.2178106488216871</v>
      </c>
      <c r="AD81" s="91">
        <f t="shared" ca="1" si="86"/>
        <v>-7.5653052374020948</v>
      </c>
      <c r="AE81" s="91">
        <f t="shared" ca="1" si="86"/>
        <v>-7.9404557600059249</v>
      </c>
      <c r="AF81" s="91">
        <f t="shared" ca="1" si="86"/>
        <v>-8.3432752293422041</v>
      </c>
      <c r="AG81" s="91">
        <f t="shared" ca="1" si="86"/>
        <v>-8.7739663800080407</v>
      </c>
      <c r="AH81" s="91">
        <f t="shared" ca="1" si="86"/>
        <v>-9.2328996536628427</v>
      </c>
      <c r="AI81" s="91">
        <f t="shared" ca="1" si="86"/>
        <v>-9.7205944493088818</v>
      </c>
    </row>
    <row r="82" spans="1:35" x14ac:dyDescent="0.55000000000000004">
      <c r="H82" s="160"/>
    </row>
    <row r="83" spans="1:35" x14ac:dyDescent="0.55000000000000004">
      <c r="B83" s="72" t="s">
        <v>39</v>
      </c>
      <c r="H83" s="160"/>
    </row>
    <row r="84" spans="1:35" x14ac:dyDescent="0.55000000000000004">
      <c r="B84" s="157">
        <v>2024</v>
      </c>
      <c r="F84" s="86" t="s">
        <v>41</v>
      </c>
      <c r="H84" s="158">
        <v>0.12</v>
      </c>
      <c r="L84" s="93">
        <f t="shared" ref="L84:U85" ca="1" si="87">-$H84*L$55*(L$9=$B84)</f>
        <v>-8.478374999999998</v>
      </c>
      <c r="M84" s="93">
        <f t="shared" ca="1" si="87"/>
        <v>-20.937900000000003</v>
      </c>
      <c r="N84" s="93">
        <f t="shared" ca="1" si="87"/>
        <v>-26.817468750000003</v>
      </c>
      <c r="O84" s="93">
        <f t="shared" ca="1" si="87"/>
        <v>-28.346340937499999</v>
      </c>
      <c r="P84" s="93">
        <f t="shared" ca="1" si="87"/>
        <v>-27.787569946874999</v>
      </c>
      <c r="Q84" s="93">
        <f t="shared" ca="1" si="87"/>
        <v>-27.571137215343747</v>
      </c>
      <c r="R84" s="93">
        <f t="shared" ca="1" si="87"/>
        <v>-27.663788586777187</v>
      </c>
      <c r="S84" s="93">
        <f t="shared" ca="1" si="87"/>
        <v>-28.03852478925706</v>
      </c>
      <c r="T84" s="93">
        <f t="shared" ca="1" si="87"/>
        <v>-28.673751875699701</v>
      </c>
      <c r="U84" s="93">
        <f t="shared" ca="1" si="87"/>
        <v>-29.552565305514133</v>
      </c>
      <c r="V84" s="93">
        <f t="shared" ref="V84:AI85" ca="1" si="88">-$H84*V$55*(V$9=$B84)</f>
        <v>-30.662148055638259</v>
      </c>
      <c r="W84" s="93">
        <f t="shared" ca="1" si="88"/>
        <v>-31.993266121460344</v>
      </c>
      <c r="X84" s="93">
        <f t="shared" ca="1" si="88"/>
        <v>0</v>
      </c>
      <c r="Y84" s="93">
        <f t="shared" ca="1" si="88"/>
        <v>0</v>
      </c>
      <c r="Z84" s="93">
        <f t="shared" ca="1" si="88"/>
        <v>0</v>
      </c>
      <c r="AA84" s="93">
        <f t="shared" ca="1" si="88"/>
        <v>0</v>
      </c>
      <c r="AB84" s="93">
        <f t="shared" ca="1" si="88"/>
        <v>0</v>
      </c>
      <c r="AC84" s="93">
        <f t="shared" ca="1" si="88"/>
        <v>0</v>
      </c>
      <c r="AD84" s="93">
        <f t="shared" ca="1" si="88"/>
        <v>0</v>
      </c>
      <c r="AE84" s="93">
        <f t="shared" ca="1" si="88"/>
        <v>0</v>
      </c>
      <c r="AF84" s="93">
        <f t="shared" ca="1" si="88"/>
        <v>0</v>
      </c>
      <c r="AG84" s="93">
        <f t="shared" ca="1" si="88"/>
        <v>0</v>
      </c>
      <c r="AH84" s="93">
        <f t="shared" ca="1" si="88"/>
        <v>0</v>
      </c>
      <c r="AI84" s="93">
        <f t="shared" ca="1" si="88"/>
        <v>0</v>
      </c>
    </row>
    <row r="85" spans="1:35" x14ac:dyDescent="0.55000000000000004">
      <c r="B85" s="157">
        <v>2025</v>
      </c>
      <c r="F85" s="86" t="s">
        <v>41</v>
      </c>
      <c r="H85" s="158">
        <v>0.1</v>
      </c>
      <c r="L85" s="93">
        <f t="shared" ca="1" si="87"/>
        <v>0</v>
      </c>
      <c r="M85" s="93">
        <f t="shared" ca="1" si="87"/>
        <v>0</v>
      </c>
      <c r="N85" s="93">
        <f t="shared" ca="1" si="87"/>
        <v>0</v>
      </c>
      <c r="O85" s="93">
        <f t="shared" ca="1" si="87"/>
        <v>0</v>
      </c>
      <c r="P85" s="93">
        <f t="shared" ca="1" si="87"/>
        <v>0</v>
      </c>
      <c r="Q85" s="93">
        <f t="shared" ca="1" si="87"/>
        <v>0</v>
      </c>
      <c r="R85" s="93">
        <f t="shared" ca="1" si="87"/>
        <v>0</v>
      </c>
      <c r="S85" s="93">
        <f t="shared" ca="1" si="87"/>
        <v>0</v>
      </c>
      <c r="T85" s="93">
        <f t="shared" ca="1" si="87"/>
        <v>0</v>
      </c>
      <c r="U85" s="93">
        <f t="shared" ca="1" si="87"/>
        <v>0</v>
      </c>
      <c r="V85" s="93">
        <f t="shared" ca="1" si="88"/>
        <v>0</v>
      </c>
      <c r="W85" s="93">
        <f t="shared" ca="1" si="88"/>
        <v>0</v>
      </c>
      <c r="X85" s="93">
        <f t="shared" ca="1" si="88"/>
        <v>-24.570810247167394</v>
      </c>
      <c r="Y85" s="93">
        <f t="shared" ca="1" si="88"/>
        <v>-20.547176528754576</v>
      </c>
      <c r="Z85" s="93">
        <f t="shared" ca="1" si="88"/>
        <v>-18.58894736697254</v>
      </c>
      <c r="AA85" s="93">
        <f t="shared" ca="1" si="88"/>
        <v>-18.26434007449749</v>
      </c>
      <c r="AB85" s="93">
        <f t="shared" ca="1" si="88"/>
        <v>-18.898669819023656</v>
      </c>
      <c r="AC85" s="93">
        <f t="shared" ca="1" si="88"/>
        <v>-19.598626326707453</v>
      </c>
      <c r="AD85" s="93">
        <f t="shared" ca="1" si="88"/>
        <v>-20.360341748849418</v>
      </c>
      <c r="AE85" s="93">
        <f t="shared" ca="1" si="88"/>
        <v>-21.180577273761699</v>
      </c>
      <c r="AF85" s="93">
        <f t="shared" ca="1" si="88"/>
        <v>-22.056606328362946</v>
      </c>
      <c r="AG85" s="93">
        <f t="shared" ca="1" si="88"/>
        <v>-22.986111918121956</v>
      </c>
      <c r="AH85" s="93">
        <f t="shared" ca="1" si="88"/>
        <v>-23.967095621170014</v>
      </c>
      <c r="AI85" s="93">
        <f t="shared" ca="1" si="88"/>
        <v>-24.997796090718001</v>
      </c>
    </row>
    <row r="86" spans="1:35" s="72" customFormat="1" x14ac:dyDescent="0.55000000000000004">
      <c r="A86" s="71"/>
      <c r="B86" s="88" t="s">
        <v>9</v>
      </c>
      <c r="C86" s="88"/>
      <c r="D86" s="88"/>
      <c r="E86" s="88"/>
      <c r="F86" s="89" t="s">
        <v>41</v>
      </c>
      <c r="G86" s="88"/>
      <c r="H86" s="90"/>
      <c r="I86" s="90"/>
      <c r="J86" s="90"/>
      <c r="K86" s="90"/>
      <c r="L86" s="91">
        <f ca="1">SUM(L84:L85)</f>
        <v>-8.478374999999998</v>
      </c>
      <c r="M86" s="91">
        <f t="shared" ref="M86" ca="1" si="89">SUM(M84:M85)</f>
        <v>-20.937900000000003</v>
      </c>
      <c r="N86" s="91">
        <f t="shared" ref="N86" ca="1" si="90">SUM(N84:N85)</f>
        <v>-26.817468750000003</v>
      </c>
      <c r="O86" s="91">
        <f t="shared" ref="O86" ca="1" si="91">SUM(O84:O85)</f>
        <v>-28.346340937499999</v>
      </c>
      <c r="P86" s="91">
        <f t="shared" ref="P86" ca="1" si="92">SUM(P84:P85)</f>
        <v>-27.787569946874999</v>
      </c>
      <c r="Q86" s="91">
        <f t="shared" ref="Q86" ca="1" si="93">SUM(Q84:Q85)</f>
        <v>-27.571137215343747</v>
      </c>
      <c r="R86" s="91">
        <f t="shared" ref="R86" ca="1" si="94">SUM(R84:R85)</f>
        <v>-27.663788586777187</v>
      </c>
      <c r="S86" s="91">
        <f t="shared" ref="S86" ca="1" si="95">SUM(S84:S85)</f>
        <v>-28.03852478925706</v>
      </c>
      <c r="T86" s="91">
        <f t="shared" ref="T86" ca="1" si="96">SUM(T84:T85)</f>
        <v>-28.673751875699701</v>
      </c>
      <c r="U86" s="91">
        <f t="shared" ref="U86" ca="1" si="97">SUM(U84:U85)</f>
        <v>-29.552565305514133</v>
      </c>
      <c r="V86" s="91">
        <f t="shared" ref="V86" ca="1" si="98">SUM(V84:V85)</f>
        <v>-30.662148055638259</v>
      </c>
      <c r="W86" s="91">
        <f t="shared" ref="W86" ca="1" si="99">SUM(W84:W85)</f>
        <v>-31.993266121460344</v>
      </c>
      <c r="X86" s="91">
        <f t="shared" ref="X86" ca="1" si="100">SUM(X84:X85)</f>
        <v>-24.570810247167394</v>
      </c>
      <c r="Y86" s="91">
        <f t="shared" ref="Y86" ca="1" si="101">SUM(Y84:Y85)</f>
        <v>-20.547176528754576</v>
      </c>
      <c r="Z86" s="91">
        <f t="shared" ref="Z86" ca="1" si="102">SUM(Z84:Z85)</f>
        <v>-18.58894736697254</v>
      </c>
      <c r="AA86" s="91">
        <f t="shared" ref="AA86" ca="1" si="103">SUM(AA84:AA85)</f>
        <v>-18.26434007449749</v>
      </c>
      <c r="AB86" s="91">
        <f t="shared" ref="AB86" ca="1" si="104">SUM(AB84:AB85)</f>
        <v>-18.898669819023656</v>
      </c>
      <c r="AC86" s="91">
        <f t="shared" ref="AC86" ca="1" si="105">SUM(AC84:AC85)</f>
        <v>-19.598626326707453</v>
      </c>
      <c r="AD86" s="91">
        <f t="shared" ref="AD86" ca="1" si="106">SUM(AD84:AD85)</f>
        <v>-20.360341748849418</v>
      </c>
      <c r="AE86" s="91">
        <f t="shared" ref="AE86" ca="1" si="107">SUM(AE84:AE85)</f>
        <v>-21.180577273761699</v>
      </c>
      <c r="AF86" s="91">
        <f t="shared" ref="AF86" ca="1" si="108">SUM(AF84:AF85)</f>
        <v>-22.056606328362946</v>
      </c>
      <c r="AG86" s="91">
        <f t="shared" ref="AG86" ca="1" si="109">SUM(AG84:AG85)</f>
        <v>-22.986111918121956</v>
      </c>
      <c r="AH86" s="91">
        <f t="shared" ref="AH86" ca="1" si="110">SUM(AH84:AH85)</f>
        <v>-23.967095621170014</v>
      </c>
      <c r="AI86" s="91">
        <f t="shared" ref="AI86" ca="1" si="111">SUM(AI84:AI85)</f>
        <v>-24.997796090718001</v>
      </c>
    </row>
    <row r="88" spans="1:35" x14ac:dyDescent="0.55000000000000004">
      <c r="A88" s="82" t="s">
        <v>10</v>
      </c>
      <c r="B88" s="83" t="s">
        <v>46</v>
      </c>
      <c r="C88" s="83"/>
      <c r="D88" s="83"/>
      <c r="E88" s="83"/>
      <c r="F88" s="84"/>
      <c r="G88" s="83"/>
      <c r="H88" s="85"/>
      <c r="I88" s="85"/>
      <c r="J88" s="85"/>
      <c r="K88" s="85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</row>
    <row r="89" spans="1:35" ht="3" customHeight="1" x14ac:dyDescent="0.55000000000000004"/>
    <row r="90" spans="1:35" x14ac:dyDescent="0.55000000000000004">
      <c r="B90" s="72" t="s">
        <v>40</v>
      </c>
    </row>
    <row r="91" spans="1:35" x14ac:dyDescent="0.55000000000000004">
      <c r="B91" s="4" t="s">
        <v>58</v>
      </c>
      <c r="F91" s="86" t="s">
        <v>41</v>
      </c>
      <c r="L91" s="93">
        <f ca="1">L105</f>
        <v>30</v>
      </c>
      <c r="M91" s="93">
        <f t="shared" ref="M91:AI91" ca="1" si="112">M105</f>
        <v>30</v>
      </c>
      <c r="N91" s="93">
        <f t="shared" ca="1" si="112"/>
        <v>30</v>
      </c>
      <c r="O91" s="93">
        <f t="shared" ca="1" si="112"/>
        <v>30</v>
      </c>
      <c r="P91" s="93">
        <f t="shared" ca="1" si="112"/>
        <v>30</v>
      </c>
      <c r="Q91" s="93">
        <f t="shared" ca="1" si="112"/>
        <v>30</v>
      </c>
      <c r="R91" s="93">
        <f t="shared" ca="1" si="112"/>
        <v>30</v>
      </c>
      <c r="S91" s="93">
        <f t="shared" ca="1" si="112"/>
        <v>30</v>
      </c>
      <c r="T91" s="93">
        <f t="shared" ca="1" si="112"/>
        <v>30</v>
      </c>
      <c r="U91" s="93">
        <f t="shared" ca="1" si="112"/>
        <v>30</v>
      </c>
      <c r="V91" s="93">
        <f t="shared" ca="1" si="112"/>
        <v>30</v>
      </c>
      <c r="W91" s="93">
        <f t="shared" ca="1" si="112"/>
        <v>32.400000000000006</v>
      </c>
      <c r="X91" s="93">
        <f t="shared" ca="1" si="112"/>
        <v>32.400000000000006</v>
      </c>
      <c r="Y91" s="93">
        <f t="shared" ca="1" si="112"/>
        <v>32.400000000000006</v>
      </c>
      <c r="Z91" s="93">
        <f t="shared" ca="1" si="112"/>
        <v>32.400000000000006</v>
      </c>
      <c r="AA91" s="93">
        <f t="shared" ca="1" si="112"/>
        <v>32.400000000000006</v>
      </c>
      <c r="AB91" s="93">
        <f t="shared" ca="1" si="112"/>
        <v>32.400000000000006</v>
      </c>
      <c r="AC91" s="93">
        <f t="shared" ca="1" si="112"/>
        <v>32.400000000000006</v>
      </c>
      <c r="AD91" s="93">
        <f t="shared" ca="1" si="112"/>
        <v>32.400000000000006</v>
      </c>
      <c r="AE91" s="93">
        <f t="shared" ca="1" si="112"/>
        <v>32.400000000000006</v>
      </c>
      <c r="AF91" s="93">
        <f t="shared" ca="1" si="112"/>
        <v>32.400000000000006</v>
      </c>
      <c r="AG91" s="93">
        <f t="shared" ca="1" si="112"/>
        <v>32.400000000000006</v>
      </c>
      <c r="AH91" s="93">
        <f t="shared" ca="1" si="112"/>
        <v>32.400000000000006</v>
      </c>
      <c r="AI91" s="93">
        <f t="shared" ca="1" si="112"/>
        <v>32.400000000000006</v>
      </c>
    </row>
    <row r="92" spans="1:35" x14ac:dyDescent="0.55000000000000004">
      <c r="B92" s="4" t="s">
        <v>59</v>
      </c>
      <c r="F92" s="86" t="s">
        <v>41</v>
      </c>
      <c r="L92" s="93">
        <f ca="1">L110</f>
        <v>0</v>
      </c>
      <c r="M92" s="93">
        <f t="shared" ref="M92:AI92" ca="1" si="113">M110</f>
        <v>12.5</v>
      </c>
      <c r="N92" s="93">
        <f t="shared" ca="1" si="113"/>
        <v>25</v>
      </c>
      <c r="O92" s="93">
        <f t="shared" ca="1" si="113"/>
        <v>25</v>
      </c>
      <c r="P92" s="93">
        <f t="shared" ca="1" si="113"/>
        <v>25</v>
      </c>
      <c r="Q92" s="93">
        <f t="shared" ca="1" si="113"/>
        <v>25</v>
      </c>
      <c r="R92" s="93">
        <f t="shared" ca="1" si="113"/>
        <v>25</v>
      </c>
      <c r="S92" s="93">
        <f t="shared" ca="1" si="113"/>
        <v>25</v>
      </c>
      <c r="T92" s="93">
        <f t="shared" ca="1" si="113"/>
        <v>25</v>
      </c>
      <c r="U92" s="93">
        <f t="shared" ca="1" si="113"/>
        <v>25</v>
      </c>
      <c r="V92" s="93">
        <f t="shared" ca="1" si="113"/>
        <v>37.5</v>
      </c>
      <c r="W92" s="93">
        <f t="shared" ca="1" si="113"/>
        <v>40.5</v>
      </c>
      <c r="X92" s="93">
        <f t="shared" ca="1" si="113"/>
        <v>27</v>
      </c>
      <c r="Y92" s="93">
        <f t="shared" ca="1" si="113"/>
        <v>27</v>
      </c>
      <c r="Z92" s="93">
        <f t="shared" ca="1" si="113"/>
        <v>13.5</v>
      </c>
      <c r="AA92" s="93">
        <f t="shared" ca="1" si="113"/>
        <v>13.5</v>
      </c>
      <c r="AB92" s="93">
        <f t="shared" ca="1" si="113"/>
        <v>27</v>
      </c>
      <c r="AC92" s="93">
        <f t="shared" ca="1" si="113"/>
        <v>27</v>
      </c>
      <c r="AD92" s="93">
        <f t="shared" ca="1" si="113"/>
        <v>27</v>
      </c>
      <c r="AE92" s="93">
        <f t="shared" ca="1" si="113"/>
        <v>27</v>
      </c>
      <c r="AF92" s="93">
        <f t="shared" ca="1" si="113"/>
        <v>27</v>
      </c>
      <c r="AG92" s="93">
        <f t="shared" ca="1" si="113"/>
        <v>27</v>
      </c>
      <c r="AH92" s="93">
        <f t="shared" ca="1" si="113"/>
        <v>27</v>
      </c>
      <c r="AI92" s="93">
        <f t="shared" ca="1" si="113"/>
        <v>27</v>
      </c>
    </row>
    <row r="93" spans="1:35" x14ac:dyDescent="0.55000000000000004">
      <c r="B93" s="4" t="s">
        <v>60</v>
      </c>
      <c r="F93" s="86" t="s">
        <v>41</v>
      </c>
      <c r="L93" s="93">
        <f ca="1">L116</f>
        <v>15</v>
      </c>
      <c r="M93" s="93">
        <f t="shared" ref="M93:AI93" ca="1" si="114">M116</f>
        <v>15</v>
      </c>
      <c r="N93" s="93">
        <f t="shared" ca="1" si="114"/>
        <v>30</v>
      </c>
      <c r="O93" s="93">
        <f t="shared" ca="1" si="114"/>
        <v>30</v>
      </c>
      <c r="P93" s="93">
        <f t="shared" ca="1" si="114"/>
        <v>30</v>
      </c>
      <c r="Q93" s="93">
        <f t="shared" ca="1" si="114"/>
        <v>45</v>
      </c>
      <c r="R93" s="93">
        <f t="shared" ca="1" si="114"/>
        <v>45</v>
      </c>
      <c r="S93" s="93">
        <f t="shared" ca="1" si="114"/>
        <v>45</v>
      </c>
      <c r="T93" s="93">
        <f t="shared" ca="1" si="114"/>
        <v>60</v>
      </c>
      <c r="U93" s="93">
        <f t="shared" ca="1" si="114"/>
        <v>60</v>
      </c>
      <c r="V93" s="93">
        <f t="shared" ca="1" si="114"/>
        <v>60</v>
      </c>
      <c r="W93" s="93">
        <f t="shared" ca="1" si="114"/>
        <v>81</v>
      </c>
      <c r="X93" s="93">
        <f t="shared" ca="1" si="114"/>
        <v>81</v>
      </c>
      <c r="Y93" s="93">
        <f t="shared" ca="1" si="114"/>
        <v>81</v>
      </c>
      <c r="Z93" s="93">
        <f t="shared" ca="1" si="114"/>
        <v>97.2</v>
      </c>
      <c r="AA93" s="93">
        <f t="shared" ca="1" si="114"/>
        <v>97.2</v>
      </c>
      <c r="AB93" s="93">
        <f t="shared" ca="1" si="114"/>
        <v>97.2</v>
      </c>
      <c r="AC93" s="93">
        <f t="shared" ca="1" si="114"/>
        <v>113.39999999999999</v>
      </c>
      <c r="AD93" s="93">
        <f t="shared" ca="1" si="114"/>
        <v>113.39999999999999</v>
      </c>
      <c r="AE93" s="93">
        <f t="shared" ca="1" si="114"/>
        <v>113.39999999999999</v>
      </c>
      <c r="AF93" s="93">
        <f t="shared" ca="1" si="114"/>
        <v>129.6</v>
      </c>
      <c r="AG93" s="93">
        <f t="shared" ca="1" si="114"/>
        <v>129.6</v>
      </c>
      <c r="AH93" s="93">
        <f t="shared" ca="1" si="114"/>
        <v>129.6</v>
      </c>
      <c r="AI93" s="93">
        <f t="shared" ca="1" si="114"/>
        <v>145.80000000000001</v>
      </c>
    </row>
    <row r="94" spans="1:35" x14ac:dyDescent="0.55000000000000004">
      <c r="B94" s="4" t="s">
        <v>61</v>
      </c>
      <c r="F94" s="86" t="s">
        <v>41</v>
      </c>
      <c r="L94" s="93">
        <f ca="1">L122</f>
        <v>10</v>
      </c>
      <c r="M94" s="93">
        <f t="shared" ref="M94:AI94" ca="1" si="115">M122</f>
        <v>20</v>
      </c>
      <c r="N94" s="93">
        <f t="shared" ca="1" si="115"/>
        <v>30</v>
      </c>
      <c r="O94" s="93">
        <f t="shared" ca="1" si="115"/>
        <v>30</v>
      </c>
      <c r="P94" s="93">
        <f t="shared" ca="1" si="115"/>
        <v>30</v>
      </c>
      <c r="Q94" s="93">
        <f t="shared" ca="1" si="115"/>
        <v>30</v>
      </c>
      <c r="R94" s="93">
        <f t="shared" ca="1" si="115"/>
        <v>30</v>
      </c>
      <c r="S94" s="93">
        <f t="shared" ca="1" si="115"/>
        <v>30</v>
      </c>
      <c r="T94" s="93">
        <f t="shared" ca="1" si="115"/>
        <v>30</v>
      </c>
      <c r="U94" s="93">
        <f t="shared" ca="1" si="115"/>
        <v>30</v>
      </c>
      <c r="V94" s="93">
        <f t="shared" ca="1" si="115"/>
        <v>30</v>
      </c>
      <c r="W94" s="93">
        <f t="shared" ca="1" si="115"/>
        <v>32.400000000000006</v>
      </c>
      <c r="X94" s="93">
        <f t="shared" ca="1" si="115"/>
        <v>32.400000000000006</v>
      </c>
      <c r="Y94" s="93">
        <f t="shared" ca="1" si="115"/>
        <v>32.400000000000006</v>
      </c>
      <c r="Z94" s="93">
        <f t="shared" ca="1" si="115"/>
        <v>32.400000000000006</v>
      </c>
      <c r="AA94" s="93">
        <f t="shared" ca="1" si="115"/>
        <v>43.20000000000001</v>
      </c>
      <c r="AB94" s="93">
        <f t="shared" ca="1" si="115"/>
        <v>43.20000000000001</v>
      </c>
      <c r="AC94" s="93">
        <f t="shared" ca="1" si="115"/>
        <v>43.20000000000001</v>
      </c>
      <c r="AD94" s="93">
        <f t="shared" ca="1" si="115"/>
        <v>43.20000000000001</v>
      </c>
      <c r="AE94" s="93">
        <f t="shared" ca="1" si="115"/>
        <v>43.20000000000001</v>
      </c>
      <c r="AF94" s="93">
        <f t="shared" ca="1" si="115"/>
        <v>54.000000000000007</v>
      </c>
      <c r="AG94" s="93">
        <f t="shared" ca="1" si="115"/>
        <v>54.000000000000007</v>
      </c>
      <c r="AH94" s="93">
        <f t="shared" ca="1" si="115"/>
        <v>54.000000000000007</v>
      </c>
      <c r="AI94" s="93">
        <f t="shared" ca="1" si="115"/>
        <v>64.800000000000011</v>
      </c>
    </row>
    <row r="95" spans="1:35" x14ac:dyDescent="0.55000000000000004">
      <c r="B95" s="142" t="s">
        <v>72</v>
      </c>
      <c r="C95" s="142"/>
      <c r="D95" s="142"/>
      <c r="E95" s="142"/>
      <c r="F95" s="143" t="s">
        <v>41</v>
      </c>
      <c r="G95" s="142"/>
      <c r="H95" s="144"/>
      <c r="I95" s="144"/>
      <c r="J95" s="144"/>
      <c r="K95" s="144"/>
      <c r="L95" s="161">
        <f ca="1">SUM(L91:L94)</f>
        <v>55</v>
      </c>
      <c r="M95" s="161">
        <f t="shared" ref="M95:AI95" ca="1" si="116">SUM(M91:M94)</f>
        <v>77.5</v>
      </c>
      <c r="N95" s="161">
        <f t="shared" ca="1" si="116"/>
        <v>115</v>
      </c>
      <c r="O95" s="161">
        <f t="shared" ca="1" si="116"/>
        <v>115</v>
      </c>
      <c r="P95" s="161">
        <f t="shared" ca="1" si="116"/>
        <v>115</v>
      </c>
      <c r="Q95" s="161">
        <f t="shared" ca="1" si="116"/>
        <v>130</v>
      </c>
      <c r="R95" s="161">
        <f t="shared" ca="1" si="116"/>
        <v>130</v>
      </c>
      <c r="S95" s="161">
        <f t="shared" ca="1" si="116"/>
        <v>130</v>
      </c>
      <c r="T95" s="161">
        <f t="shared" ca="1" si="116"/>
        <v>145</v>
      </c>
      <c r="U95" s="161">
        <f t="shared" ca="1" si="116"/>
        <v>145</v>
      </c>
      <c r="V95" s="161">
        <f t="shared" ca="1" si="116"/>
        <v>157.5</v>
      </c>
      <c r="W95" s="161">
        <f t="shared" ca="1" si="116"/>
        <v>186.3</v>
      </c>
      <c r="X95" s="161">
        <f t="shared" ca="1" si="116"/>
        <v>172.8</v>
      </c>
      <c r="Y95" s="161">
        <f t="shared" ca="1" si="116"/>
        <v>172.8</v>
      </c>
      <c r="Z95" s="161">
        <f t="shared" ca="1" si="116"/>
        <v>175.50000000000003</v>
      </c>
      <c r="AA95" s="161">
        <f t="shared" ca="1" si="116"/>
        <v>186.30000000000004</v>
      </c>
      <c r="AB95" s="161">
        <f t="shared" ca="1" si="116"/>
        <v>199.80000000000004</v>
      </c>
      <c r="AC95" s="161">
        <f t="shared" ca="1" si="116"/>
        <v>216.00000000000003</v>
      </c>
      <c r="AD95" s="161">
        <f t="shared" ca="1" si="116"/>
        <v>216.00000000000003</v>
      </c>
      <c r="AE95" s="161">
        <f t="shared" ca="1" si="116"/>
        <v>216.00000000000003</v>
      </c>
      <c r="AF95" s="161">
        <f t="shared" ca="1" si="116"/>
        <v>243</v>
      </c>
      <c r="AG95" s="161">
        <f t="shared" ca="1" si="116"/>
        <v>243</v>
      </c>
      <c r="AH95" s="161">
        <f t="shared" ca="1" si="116"/>
        <v>243</v>
      </c>
      <c r="AI95" s="161">
        <f t="shared" ca="1" si="116"/>
        <v>270</v>
      </c>
    </row>
    <row r="96" spans="1:35" x14ac:dyDescent="0.55000000000000004">
      <c r="B96" s="4" t="s">
        <v>71</v>
      </c>
      <c r="F96" s="86" t="s">
        <v>41</v>
      </c>
      <c r="H96" s="158">
        <v>0.15</v>
      </c>
      <c r="L96" s="93">
        <f ca="1">$H96*L95</f>
        <v>8.25</v>
      </c>
      <c r="M96" s="93">
        <f t="shared" ref="M96:AI96" ca="1" si="117">$H96*M95</f>
        <v>11.625</v>
      </c>
      <c r="N96" s="93">
        <f t="shared" ca="1" si="117"/>
        <v>17.25</v>
      </c>
      <c r="O96" s="93">
        <f t="shared" ca="1" si="117"/>
        <v>17.25</v>
      </c>
      <c r="P96" s="93">
        <f t="shared" ca="1" si="117"/>
        <v>17.25</v>
      </c>
      <c r="Q96" s="93">
        <f t="shared" ca="1" si="117"/>
        <v>19.5</v>
      </c>
      <c r="R96" s="93">
        <f t="shared" ca="1" si="117"/>
        <v>19.5</v>
      </c>
      <c r="S96" s="93">
        <f t="shared" ca="1" si="117"/>
        <v>19.5</v>
      </c>
      <c r="T96" s="93">
        <f t="shared" ca="1" si="117"/>
        <v>21.75</v>
      </c>
      <c r="U96" s="93">
        <f t="shared" ca="1" si="117"/>
        <v>21.75</v>
      </c>
      <c r="V96" s="93">
        <f t="shared" ca="1" si="117"/>
        <v>23.625</v>
      </c>
      <c r="W96" s="93">
        <f t="shared" ca="1" si="117"/>
        <v>27.945</v>
      </c>
      <c r="X96" s="93">
        <f t="shared" ca="1" si="117"/>
        <v>25.92</v>
      </c>
      <c r="Y96" s="93">
        <f t="shared" ca="1" si="117"/>
        <v>25.92</v>
      </c>
      <c r="Z96" s="93">
        <f t="shared" ca="1" si="117"/>
        <v>26.325000000000003</v>
      </c>
      <c r="AA96" s="93">
        <f t="shared" ca="1" si="117"/>
        <v>27.945000000000004</v>
      </c>
      <c r="AB96" s="93">
        <f t="shared" ca="1" si="117"/>
        <v>29.970000000000006</v>
      </c>
      <c r="AC96" s="93">
        <f t="shared" ca="1" si="117"/>
        <v>32.400000000000006</v>
      </c>
      <c r="AD96" s="93">
        <f t="shared" ca="1" si="117"/>
        <v>32.400000000000006</v>
      </c>
      <c r="AE96" s="93">
        <f t="shared" ca="1" si="117"/>
        <v>32.400000000000006</v>
      </c>
      <c r="AF96" s="93">
        <f t="shared" ca="1" si="117"/>
        <v>36.449999999999996</v>
      </c>
      <c r="AG96" s="93">
        <f t="shared" ca="1" si="117"/>
        <v>36.449999999999996</v>
      </c>
      <c r="AH96" s="93">
        <f t="shared" ca="1" si="117"/>
        <v>36.449999999999996</v>
      </c>
      <c r="AI96" s="93">
        <f t="shared" ca="1" si="117"/>
        <v>40.5</v>
      </c>
    </row>
    <row r="97" spans="2:35" x14ac:dyDescent="0.55000000000000004">
      <c r="B97" s="88" t="s">
        <v>9</v>
      </c>
      <c r="C97" s="88"/>
      <c r="D97" s="88"/>
      <c r="E97" s="88"/>
      <c r="F97" s="89" t="s">
        <v>41</v>
      </c>
      <c r="G97" s="88"/>
      <c r="H97" s="90"/>
      <c r="I97" s="90"/>
      <c r="J97" s="90"/>
      <c r="K97" s="90"/>
      <c r="L97" s="91">
        <f ca="1">SUM(L95:L96)</f>
        <v>63.25</v>
      </c>
      <c r="M97" s="91">
        <f t="shared" ref="M97:AI97" ca="1" si="118">SUM(M95:M96)</f>
        <v>89.125</v>
      </c>
      <c r="N97" s="91">
        <f t="shared" ca="1" si="118"/>
        <v>132.25</v>
      </c>
      <c r="O97" s="91">
        <f t="shared" ca="1" si="118"/>
        <v>132.25</v>
      </c>
      <c r="P97" s="91">
        <f t="shared" ca="1" si="118"/>
        <v>132.25</v>
      </c>
      <c r="Q97" s="91">
        <f t="shared" ca="1" si="118"/>
        <v>149.5</v>
      </c>
      <c r="R97" s="91">
        <f t="shared" ca="1" si="118"/>
        <v>149.5</v>
      </c>
      <c r="S97" s="91">
        <f t="shared" ca="1" si="118"/>
        <v>149.5</v>
      </c>
      <c r="T97" s="91">
        <f t="shared" ca="1" si="118"/>
        <v>166.75</v>
      </c>
      <c r="U97" s="91">
        <f t="shared" ca="1" si="118"/>
        <v>166.75</v>
      </c>
      <c r="V97" s="91">
        <f t="shared" ca="1" si="118"/>
        <v>181.125</v>
      </c>
      <c r="W97" s="91">
        <f t="shared" ca="1" si="118"/>
        <v>214.245</v>
      </c>
      <c r="X97" s="91">
        <f t="shared" ca="1" si="118"/>
        <v>198.72000000000003</v>
      </c>
      <c r="Y97" s="91">
        <f t="shared" ca="1" si="118"/>
        <v>198.72000000000003</v>
      </c>
      <c r="Z97" s="91">
        <f t="shared" ca="1" si="118"/>
        <v>201.82500000000005</v>
      </c>
      <c r="AA97" s="91">
        <f t="shared" ca="1" si="118"/>
        <v>214.24500000000003</v>
      </c>
      <c r="AB97" s="91">
        <f t="shared" ca="1" si="118"/>
        <v>229.77000000000004</v>
      </c>
      <c r="AC97" s="91">
        <f t="shared" ca="1" si="118"/>
        <v>248.40000000000003</v>
      </c>
      <c r="AD97" s="91">
        <f t="shared" ca="1" si="118"/>
        <v>248.40000000000003</v>
      </c>
      <c r="AE97" s="91">
        <f t="shared" ca="1" si="118"/>
        <v>248.40000000000003</v>
      </c>
      <c r="AF97" s="91">
        <f t="shared" ca="1" si="118"/>
        <v>279.45</v>
      </c>
      <c r="AG97" s="91">
        <f t="shared" ca="1" si="118"/>
        <v>279.45</v>
      </c>
      <c r="AH97" s="91">
        <f t="shared" ca="1" si="118"/>
        <v>279.45</v>
      </c>
      <c r="AI97" s="91">
        <f t="shared" ca="1" si="118"/>
        <v>310.5</v>
      </c>
    </row>
    <row r="98" spans="2:35" x14ac:dyDescent="0.55000000000000004">
      <c r="B98" s="105" t="s">
        <v>47</v>
      </c>
      <c r="F98" s="86" t="s">
        <v>29</v>
      </c>
      <c r="L98" s="162">
        <f t="shared" ref="L98:AI98" ca="1" si="119">SUM(L103,L108,L113,L119)</f>
        <v>5</v>
      </c>
      <c r="M98" s="162">
        <f t="shared" ca="1" si="119"/>
        <v>7</v>
      </c>
      <c r="N98" s="162">
        <f t="shared" ca="1" si="119"/>
        <v>10</v>
      </c>
      <c r="O98" s="162">
        <f t="shared" ca="1" si="119"/>
        <v>10</v>
      </c>
      <c r="P98" s="162">
        <f t="shared" ca="1" si="119"/>
        <v>10</v>
      </c>
      <c r="Q98" s="162">
        <f t="shared" ca="1" si="119"/>
        <v>11</v>
      </c>
      <c r="R98" s="162">
        <f t="shared" ca="1" si="119"/>
        <v>11</v>
      </c>
      <c r="S98" s="162">
        <f t="shared" ca="1" si="119"/>
        <v>11</v>
      </c>
      <c r="T98" s="162">
        <f t="shared" ca="1" si="119"/>
        <v>12</v>
      </c>
      <c r="U98" s="162">
        <f t="shared" ca="1" si="119"/>
        <v>12</v>
      </c>
      <c r="V98" s="162">
        <f t="shared" ca="1" si="119"/>
        <v>13</v>
      </c>
      <c r="W98" s="162">
        <f t="shared" ca="1" si="119"/>
        <v>14</v>
      </c>
      <c r="X98" s="162">
        <f t="shared" ca="1" si="119"/>
        <v>13</v>
      </c>
      <c r="Y98" s="162">
        <f t="shared" ca="1" si="119"/>
        <v>13</v>
      </c>
      <c r="Z98" s="162">
        <f t="shared" ca="1" si="119"/>
        <v>13</v>
      </c>
      <c r="AA98" s="162">
        <f t="shared" ca="1" si="119"/>
        <v>14</v>
      </c>
      <c r="AB98" s="162">
        <f t="shared" ca="1" si="119"/>
        <v>15</v>
      </c>
      <c r="AC98" s="162">
        <f t="shared" ca="1" si="119"/>
        <v>16</v>
      </c>
      <c r="AD98" s="162">
        <f t="shared" ca="1" si="119"/>
        <v>16</v>
      </c>
      <c r="AE98" s="162">
        <f t="shared" ca="1" si="119"/>
        <v>16</v>
      </c>
      <c r="AF98" s="162">
        <f t="shared" ca="1" si="119"/>
        <v>18</v>
      </c>
      <c r="AG98" s="162">
        <f t="shared" ca="1" si="119"/>
        <v>18</v>
      </c>
      <c r="AH98" s="162">
        <f t="shared" ca="1" si="119"/>
        <v>18</v>
      </c>
      <c r="AI98" s="162">
        <f t="shared" ca="1" si="119"/>
        <v>20</v>
      </c>
    </row>
    <row r="100" spans="2:35" x14ac:dyDescent="0.55000000000000004">
      <c r="B100" s="4" t="s">
        <v>70</v>
      </c>
      <c r="F100" s="86" t="s">
        <v>30</v>
      </c>
      <c r="H100" s="149">
        <f ca="1">Ctrl!H63</f>
        <v>0.08</v>
      </c>
      <c r="I100" s="82">
        <v>12</v>
      </c>
      <c r="L100" s="163">
        <f t="shared" ref="L100:AI100" ca="1" si="120">$H100*(L$10=$I100)</f>
        <v>0</v>
      </c>
      <c r="M100" s="163">
        <f t="shared" ca="1" si="120"/>
        <v>0</v>
      </c>
      <c r="N100" s="163">
        <f t="shared" ca="1" si="120"/>
        <v>0</v>
      </c>
      <c r="O100" s="163">
        <f t="shared" ca="1" si="120"/>
        <v>0</v>
      </c>
      <c r="P100" s="163">
        <f t="shared" ca="1" si="120"/>
        <v>0</v>
      </c>
      <c r="Q100" s="163">
        <f t="shared" ca="1" si="120"/>
        <v>0</v>
      </c>
      <c r="R100" s="163">
        <f t="shared" ca="1" si="120"/>
        <v>0</v>
      </c>
      <c r="S100" s="163">
        <f t="shared" ca="1" si="120"/>
        <v>0</v>
      </c>
      <c r="T100" s="163">
        <f t="shared" ca="1" si="120"/>
        <v>0</v>
      </c>
      <c r="U100" s="163">
        <f t="shared" ca="1" si="120"/>
        <v>0</v>
      </c>
      <c r="V100" s="163">
        <f t="shared" ca="1" si="120"/>
        <v>0</v>
      </c>
      <c r="W100" s="163">
        <f t="shared" ca="1" si="120"/>
        <v>0.08</v>
      </c>
      <c r="X100" s="163">
        <f t="shared" ca="1" si="120"/>
        <v>0</v>
      </c>
      <c r="Y100" s="163">
        <f t="shared" ca="1" si="120"/>
        <v>0</v>
      </c>
      <c r="Z100" s="163">
        <f t="shared" ca="1" si="120"/>
        <v>0</v>
      </c>
      <c r="AA100" s="163">
        <f t="shared" ca="1" si="120"/>
        <v>0</v>
      </c>
      <c r="AB100" s="163">
        <f t="shared" ca="1" si="120"/>
        <v>0</v>
      </c>
      <c r="AC100" s="163">
        <f t="shared" ca="1" si="120"/>
        <v>0</v>
      </c>
      <c r="AD100" s="163">
        <f t="shared" ca="1" si="120"/>
        <v>0</v>
      </c>
      <c r="AE100" s="163">
        <f t="shared" ca="1" si="120"/>
        <v>0</v>
      </c>
      <c r="AF100" s="163">
        <f t="shared" ca="1" si="120"/>
        <v>0</v>
      </c>
      <c r="AG100" s="163">
        <f t="shared" ca="1" si="120"/>
        <v>0</v>
      </c>
      <c r="AH100" s="163">
        <f t="shared" ca="1" si="120"/>
        <v>0</v>
      </c>
      <c r="AI100" s="163">
        <f t="shared" ca="1" si="120"/>
        <v>0</v>
      </c>
    </row>
    <row r="101" spans="2:35" x14ac:dyDescent="0.55000000000000004">
      <c r="H101" s="4"/>
      <c r="I101" s="4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</row>
    <row r="102" spans="2:35" x14ac:dyDescent="0.55000000000000004">
      <c r="B102" s="72" t="s">
        <v>56</v>
      </c>
    </row>
    <row r="103" spans="2:35" x14ac:dyDescent="0.55000000000000004">
      <c r="B103" s="4" t="s">
        <v>47</v>
      </c>
      <c r="F103" s="86" t="s">
        <v>29</v>
      </c>
      <c r="L103" s="164">
        <v>3</v>
      </c>
      <c r="M103" s="4">
        <f>L103</f>
        <v>3</v>
      </c>
      <c r="N103" s="4">
        <f t="shared" ref="N103:AI103" si="121">M103</f>
        <v>3</v>
      </c>
      <c r="O103" s="4">
        <f t="shared" si="121"/>
        <v>3</v>
      </c>
      <c r="P103" s="4">
        <f t="shared" si="121"/>
        <v>3</v>
      </c>
      <c r="Q103" s="4">
        <f t="shared" si="121"/>
        <v>3</v>
      </c>
      <c r="R103" s="4">
        <f t="shared" si="121"/>
        <v>3</v>
      </c>
      <c r="S103" s="4">
        <f t="shared" si="121"/>
        <v>3</v>
      </c>
      <c r="T103" s="4">
        <f t="shared" si="121"/>
        <v>3</v>
      </c>
      <c r="U103" s="4">
        <f t="shared" si="121"/>
        <v>3</v>
      </c>
      <c r="V103" s="4">
        <f t="shared" si="121"/>
        <v>3</v>
      </c>
      <c r="W103" s="4">
        <f t="shared" si="121"/>
        <v>3</v>
      </c>
      <c r="X103" s="4">
        <f t="shared" si="121"/>
        <v>3</v>
      </c>
      <c r="Y103" s="4">
        <f t="shared" si="121"/>
        <v>3</v>
      </c>
      <c r="Z103" s="4">
        <f t="shared" si="121"/>
        <v>3</v>
      </c>
      <c r="AA103" s="4">
        <f t="shared" si="121"/>
        <v>3</v>
      </c>
      <c r="AB103" s="4">
        <f t="shared" si="121"/>
        <v>3</v>
      </c>
      <c r="AC103" s="4">
        <f t="shared" si="121"/>
        <v>3</v>
      </c>
      <c r="AD103" s="4">
        <f t="shared" si="121"/>
        <v>3</v>
      </c>
      <c r="AE103" s="4">
        <f t="shared" si="121"/>
        <v>3</v>
      </c>
      <c r="AF103" s="4">
        <f t="shared" si="121"/>
        <v>3</v>
      </c>
      <c r="AG103" s="4">
        <f t="shared" si="121"/>
        <v>3</v>
      </c>
      <c r="AH103" s="4">
        <f t="shared" si="121"/>
        <v>3</v>
      </c>
      <c r="AI103" s="4">
        <f t="shared" si="121"/>
        <v>3</v>
      </c>
    </row>
    <row r="104" spans="2:35" x14ac:dyDescent="0.55000000000000004">
      <c r="B104" s="4" t="s">
        <v>48</v>
      </c>
      <c r="F104" s="86" t="s">
        <v>41</v>
      </c>
      <c r="H104" s="165">
        <f ca="1">Ctrl!H66</f>
        <v>120</v>
      </c>
      <c r="L104" s="121">
        <f ca="1">$H104</f>
        <v>120</v>
      </c>
      <c r="M104" s="121">
        <f ca="1">L104*(1+M$100)</f>
        <v>120</v>
      </c>
      <c r="N104" s="121">
        <f t="shared" ref="N104:AI104" ca="1" si="122">M104*(1+N$100)</f>
        <v>120</v>
      </c>
      <c r="O104" s="121">
        <f t="shared" ca="1" si="122"/>
        <v>120</v>
      </c>
      <c r="P104" s="121">
        <f t="shared" ca="1" si="122"/>
        <v>120</v>
      </c>
      <c r="Q104" s="121">
        <f t="shared" ca="1" si="122"/>
        <v>120</v>
      </c>
      <c r="R104" s="121">
        <f t="shared" ca="1" si="122"/>
        <v>120</v>
      </c>
      <c r="S104" s="121">
        <f t="shared" ca="1" si="122"/>
        <v>120</v>
      </c>
      <c r="T104" s="121">
        <f t="shared" ca="1" si="122"/>
        <v>120</v>
      </c>
      <c r="U104" s="121">
        <f t="shared" ca="1" si="122"/>
        <v>120</v>
      </c>
      <c r="V104" s="121">
        <f t="shared" ca="1" si="122"/>
        <v>120</v>
      </c>
      <c r="W104" s="121">
        <f t="shared" ca="1" si="122"/>
        <v>129.60000000000002</v>
      </c>
      <c r="X104" s="121">
        <f t="shared" ca="1" si="122"/>
        <v>129.60000000000002</v>
      </c>
      <c r="Y104" s="121">
        <f t="shared" ca="1" si="122"/>
        <v>129.60000000000002</v>
      </c>
      <c r="Z104" s="121">
        <f t="shared" ca="1" si="122"/>
        <v>129.60000000000002</v>
      </c>
      <c r="AA104" s="121">
        <f t="shared" ca="1" si="122"/>
        <v>129.60000000000002</v>
      </c>
      <c r="AB104" s="121">
        <f t="shared" ca="1" si="122"/>
        <v>129.60000000000002</v>
      </c>
      <c r="AC104" s="121">
        <f t="shared" ca="1" si="122"/>
        <v>129.60000000000002</v>
      </c>
      <c r="AD104" s="121">
        <f t="shared" ca="1" si="122"/>
        <v>129.60000000000002</v>
      </c>
      <c r="AE104" s="121">
        <f t="shared" ca="1" si="122"/>
        <v>129.60000000000002</v>
      </c>
      <c r="AF104" s="121">
        <f t="shared" ca="1" si="122"/>
        <v>129.60000000000002</v>
      </c>
      <c r="AG104" s="121">
        <f t="shared" ca="1" si="122"/>
        <v>129.60000000000002</v>
      </c>
      <c r="AH104" s="121">
        <f t="shared" ca="1" si="122"/>
        <v>129.60000000000002</v>
      </c>
      <c r="AI104" s="121">
        <f t="shared" ca="1" si="122"/>
        <v>129.60000000000002</v>
      </c>
    </row>
    <row r="105" spans="2:35" x14ac:dyDescent="0.55000000000000004">
      <c r="B105" s="88" t="s">
        <v>9</v>
      </c>
      <c r="C105" s="88"/>
      <c r="D105" s="88"/>
      <c r="E105" s="88"/>
      <c r="F105" s="89" t="s">
        <v>41</v>
      </c>
      <c r="G105" s="88"/>
      <c r="H105" s="151"/>
      <c r="I105" s="90"/>
      <c r="J105" s="90"/>
      <c r="K105" s="90"/>
      <c r="L105" s="166">
        <f ca="1">L103*L104/12</f>
        <v>30</v>
      </c>
      <c r="M105" s="166">
        <f t="shared" ref="M105:AI105" ca="1" si="123">M103*M104/12</f>
        <v>30</v>
      </c>
      <c r="N105" s="166">
        <f t="shared" ca="1" si="123"/>
        <v>30</v>
      </c>
      <c r="O105" s="166">
        <f t="shared" ca="1" si="123"/>
        <v>30</v>
      </c>
      <c r="P105" s="166">
        <f t="shared" ca="1" si="123"/>
        <v>30</v>
      </c>
      <c r="Q105" s="166">
        <f t="shared" ca="1" si="123"/>
        <v>30</v>
      </c>
      <c r="R105" s="166">
        <f t="shared" ca="1" si="123"/>
        <v>30</v>
      </c>
      <c r="S105" s="166">
        <f t="shared" ca="1" si="123"/>
        <v>30</v>
      </c>
      <c r="T105" s="166">
        <f t="shared" ca="1" si="123"/>
        <v>30</v>
      </c>
      <c r="U105" s="166">
        <f t="shared" ca="1" si="123"/>
        <v>30</v>
      </c>
      <c r="V105" s="166">
        <f t="shared" ca="1" si="123"/>
        <v>30</v>
      </c>
      <c r="W105" s="166">
        <f t="shared" ca="1" si="123"/>
        <v>32.400000000000006</v>
      </c>
      <c r="X105" s="166">
        <f t="shared" ca="1" si="123"/>
        <v>32.400000000000006</v>
      </c>
      <c r="Y105" s="166">
        <f t="shared" ca="1" si="123"/>
        <v>32.400000000000006</v>
      </c>
      <c r="Z105" s="166">
        <f t="shared" ca="1" si="123"/>
        <v>32.400000000000006</v>
      </c>
      <c r="AA105" s="166">
        <f t="shared" ca="1" si="123"/>
        <v>32.400000000000006</v>
      </c>
      <c r="AB105" s="166">
        <f t="shared" ca="1" si="123"/>
        <v>32.400000000000006</v>
      </c>
      <c r="AC105" s="166">
        <f t="shared" ca="1" si="123"/>
        <v>32.400000000000006</v>
      </c>
      <c r="AD105" s="166">
        <f t="shared" ca="1" si="123"/>
        <v>32.400000000000006</v>
      </c>
      <c r="AE105" s="166">
        <f t="shared" ca="1" si="123"/>
        <v>32.400000000000006</v>
      </c>
      <c r="AF105" s="166">
        <f t="shared" ca="1" si="123"/>
        <v>32.400000000000006</v>
      </c>
      <c r="AG105" s="166">
        <f t="shared" ca="1" si="123"/>
        <v>32.400000000000006</v>
      </c>
      <c r="AH105" s="166">
        <f t="shared" ca="1" si="123"/>
        <v>32.400000000000006</v>
      </c>
      <c r="AI105" s="166">
        <f t="shared" ca="1" si="123"/>
        <v>32.400000000000006</v>
      </c>
    </row>
    <row r="106" spans="2:35" x14ac:dyDescent="0.55000000000000004">
      <c r="H106" s="154"/>
    </row>
    <row r="107" spans="2:35" x14ac:dyDescent="0.55000000000000004">
      <c r="B107" s="72" t="s">
        <v>57</v>
      </c>
      <c r="H107" s="154"/>
    </row>
    <row r="108" spans="2:35" x14ac:dyDescent="0.55000000000000004">
      <c r="B108" s="4" t="s">
        <v>47</v>
      </c>
      <c r="F108" s="86" t="s">
        <v>29</v>
      </c>
      <c r="H108" s="154"/>
      <c r="L108" s="132">
        <f t="shared" ref="L108:AI108" ca="1" si="124">L22-$L$22</f>
        <v>0</v>
      </c>
      <c r="M108" s="132">
        <f t="shared" ca="1" si="124"/>
        <v>1</v>
      </c>
      <c r="N108" s="132">
        <f t="shared" ca="1" si="124"/>
        <v>2</v>
      </c>
      <c r="O108" s="132">
        <f t="shared" ca="1" si="124"/>
        <v>2</v>
      </c>
      <c r="P108" s="132">
        <f t="shared" ca="1" si="124"/>
        <v>2</v>
      </c>
      <c r="Q108" s="132">
        <f t="shared" ca="1" si="124"/>
        <v>2</v>
      </c>
      <c r="R108" s="132">
        <f t="shared" ca="1" si="124"/>
        <v>2</v>
      </c>
      <c r="S108" s="132">
        <f t="shared" ca="1" si="124"/>
        <v>2</v>
      </c>
      <c r="T108" s="132">
        <f t="shared" ca="1" si="124"/>
        <v>2</v>
      </c>
      <c r="U108" s="132">
        <f t="shared" ca="1" si="124"/>
        <v>2</v>
      </c>
      <c r="V108" s="132">
        <f t="shared" ca="1" si="124"/>
        <v>3</v>
      </c>
      <c r="W108" s="132">
        <f t="shared" ca="1" si="124"/>
        <v>3</v>
      </c>
      <c r="X108" s="132">
        <f t="shared" ca="1" si="124"/>
        <v>2</v>
      </c>
      <c r="Y108" s="132">
        <f t="shared" ca="1" si="124"/>
        <v>2</v>
      </c>
      <c r="Z108" s="132">
        <f t="shared" ca="1" si="124"/>
        <v>1</v>
      </c>
      <c r="AA108" s="132">
        <f t="shared" ca="1" si="124"/>
        <v>1</v>
      </c>
      <c r="AB108" s="132">
        <f t="shared" ca="1" si="124"/>
        <v>2</v>
      </c>
      <c r="AC108" s="132">
        <f t="shared" ca="1" si="124"/>
        <v>2</v>
      </c>
      <c r="AD108" s="132">
        <f t="shared" ca="1" si="124"/>
        <v>2</v>
      </c>
      <c r="AE108" s="132">
        <f t="shared" ca="1" si="124"/>
        <v>2</v>
      </c>
      <c r="AF108" s="132">
        <f t="shared" ca="1" si="124"/>
        <v>2</v>
      </c>
      <c r="AG108" s="132">
        <f t="shared" ca="1" si="124"/>
        <v>2</v>
      </c>
      <c r="AH108" s="132">
        <f t="shared" ca="1" si="124"/>
        <v>2</v>
      </c>
      <c r="AI108" s="132">
        <f t="shared" ca="1" si="124"/>
        <v>2</v>
      </c>
    </row>
    <row r="109" spans="2:35" x14ac:dyDescent="0.55000000000000004">
      <c r="B109" s="4" t="s">
        <v>48</v>
      </c>
      <c r="F109" s="86" t="s">
        <v>41</v>
      </c>
      <c r="H109" s="165">
        <f ca="1">Ctrl!H67</f>
        <v>150</v>
      </c>
      <c r="L109" s="4">
        <f ca="1">$H109</f>
        <v>150</v>
      </c>
      <c r="M109" s="121">
        <f ca="1">L109*(1+M$100)</f>
        <v>150</v>
      </c>
      <c r="N109" s="121">
        <f t="shared" ref="N109:AI109" ca="1" si="125">M109*(1+N$100)</f>
        <v>150</v>
      </c>
      <c r="O109" s="121">
        <f t="shared" ca="1" si="125"/>
        <v>150</v>
      </c>
      <c r="P109" s="121">
        <f t="shared" ca="1" si="125"/>
        <v>150</v>
      </c>
      <c r="Q109" s="121">
        <f t="shared" ca="1" si="125"/>
        <v>150</v>
      </c>
      <c r="R109" s="121">
        <f t="shared" ca="1" si="125"/>
        <v>150</v>
      </c>
      <c r="S109" s="121">
        <f t="shared" ca="1" si="125"/>
        <v>150</v>
      </c>
      <c r="T109" s="121">
        <f t="shared" ca="1" si="125"/>
        <v>150</v>
      </c>
      <c r="U109" s="121">
        <f t="shared" ca="1" si="125"/>
        <v>150</v>
      </c>
      <c r="V109" s="121">
        <f t="shared" ca="1" si="125"/>
        <v>150</v>
      </c>
      <c r="W109" s="121">
        <f t="shared" ca="1" si="125"/>
        <v>162</v>
      </c>
      <c r="X109" s="121">
        <f t="shared" ca="1" si="125"/>
        <v>162</v>
      </c>
      <c r="Y109" s="121">
        <f t="shared" ca="1" si="125"/>
        <v>162</v>
      </c>
      <c r="Z109" s="121">
        <f t="shared" ca="1" si="125"/>
        <v>162</v>
      </c>
      <c r="AA109" s="121">
        <f t="shared" ca="1" si="125"/>
        <v>162</v>
      </c>
      <c r="AB109" s="121">
        <f t="shared" ca="1" si="125"/>
        <v>162</v>
      </c>
      <c r="AC109" s="121">
        <f t="shared" ca="1" si="125"/>
        <v>162</v>
      </c>
      <c r="AD109" s="121">
        <f t="shared" ca="1" si="125"/>
        <v>162</v>
      </c>
      <c r="AE109" s="121">
        <f t="shared" ca="1" si="125"/>
        <v>162</v>
      </c>
      <c r="AF109" s="121">
        <f t="shared" ca="1" si="125"/>
        <v>162</v>
      </c>
      <c r="AG109" s="121">
        <f t="shared" ca="1" si="125"/>
        <v>162</v>
      </c>
      <c r="AH109" s="121">
        <f t="shared" ca="1" si="125"/>
        <v>162</v>
      </c>
      <c r="AI109" s="121">
        <f t="shared" ca="1" si="125"/>
        <v>162</v>
      </c>
    </row>
    <row r="110" spans="2:35" x14ac:dyDescent="0.55000000000000004">
      <c r="B110" s="88" t="s">
        <v>9</v>
      </c>
      <c r="C110" s="88"/>
      <c r="D110" s="88"/>
      <c r="E110" s="88"/>
      <c r="F110" s="89" t="s">
        <v>41</v>
      </c>
      <c r="G110" s="88"/>
      <c r="H110" s="151"/>
      <c r="I110" s="90"/>
      <c r="J110" s="90"/>
      <c r="K110" s="90"/>
      <c r="L110" s="166">
        <f ca="1">L108*L109/12</f>
        <v>0</v>
      </c>
      <c r="M110" s="166">
        <f t="shared" ref="M110:AI110" ca="1" si="126">M108*M109/12</f>
        <v>12.5</v>
      </c>
      <c r="N110" s="166">
        <f t="shared" ca="1" si="126"/>
        <v>25</v>
      </c>
      <c r="O110" s="166">
        <f t="shared" ca="1" si="126"/>
        <v>25</v>
      </c>
      <c r="P110" s="166">
        <f t="shared" ca="1" si="126"/>
        <v>25</v>
      </c>
      <c r="Q110" s="166">
        <f t="shared" ca="1" si="126"/>
        <v>25</v>
      </c>
      <c r="R110" s="166">
        <f t="shared" ca="1" si="126"/>
        <v>25</v>
      </c>
      <c r="S110" s="166">
        <f t="shared" ca="1" si="126"/>
        <v>25</v>
      </c>
      <c r="T110" s="166">
        <f t="shared" ca="1" si="126"/>
        <v>25</v>
      </c>
      <c r="U110" s="166">
        <f t="shared" ca="1" si="126"/>
        <v>25</v>
      </c>
      <c r="V110" s="166">
        <f t="shared" ca="1" si="126"/>
        <v>37.5</v>
      </c>
      <c r="W110" s="166">
        <f t="shared" ca="1" si="126"/>
        <v>40.5</v>
      </c>
      <c r="X110" s="166">
        <f t="shared" ca="1" si="126"/>
        <v>27</v>
      </c>
      <c r="Y110" s="166">
        <f t="shared" ca="1" si="126"/>
        <v>27</v>
      </c>
      <c r="Z110" s="166">
        <f t="shared" ca="1" si="126"/>
        <v>13.5</v>
      </c>
      <c r="AA110" s="166">
        <f t="shared" ca="1" si="126"/>
        <v>13.5</v>
      </c>
      <c r="AB110" s="166">
        <f t="shared" ca="1" si="126"/>
        <v>27</v>
      </c>
      <c r="AC110" s="166">
        <f t="shared" ca="1" si="126"/>
        <v>27</v>
      </c>
      <c r="AD110" s="166">
        <f t="shared" ca="1" si="126"/>
        <v>27</v>
      </c>
      <c r="AE110" s="166">
        <f t="shared" ca="1" si="126"/>
        <v>27</v>
      </c>
      <c r="AF110" s="166">
        <f t="shared" ca="1" si="126"/>
        <v>27</v>
      </c>
      <c r="AG110" s="166">
        <f t="shared" ca="1" si="126"/>
        <v>27</v>
      </c>
      <c r="AH110" s="166">
        <f t="shared" ca="1" si="126"/>
        <v>27</v>
      </c>
      <c r="AI110" s="166">
        <f t="shared" ca="1" si="126"/>
        <v>27</v>
      </c>
    </row>
    <row r="111" spans="2:35" x14ac:dyDescent="0.55000000000000004">
      <c r="H111" s="154"/>
    </row>
    <row r="112" spans="2:35" x14ac:dyDescent="0.55000000000000004">
      <c r="B112" s="72" t="s">
        <v>50</v>
      </c>
      <c r="H112" s="154"/>
    </row>
    <row r="113" spans="1:35" x14ac:dyDescent="0.55000000000000004">
      <c r="B113" s="4" t="s">
        <v>47</v>
      </c>
      <c r="F113" s="86" t="s">
        <v>29</v>
      </c>
      <c r="H113" s="154"/>
      <c r="L113" s="164">
        <v>1</v>
      </c>
      <c r="M113" s="93">
        <f>L113+M114</f>
        <v>1</v>
      </c>
      <c r="N113" s="93">
        <f t="shared" ref="N113:AI113" si="127">M113+N114</f>
        <v>2</v>
      </c>
      <c r="O113" s="93">
        <f t="shared" si="127"/>
        <v>2</v>
      </c>
      <c r="P113" s="93">
        <f t="shared" si="127"/>
        <v>2</v>
      </c>
      <c r="Q113" s="93">
        <f t="shared" si="127"/>
        <v>3</v>
      </c>
      <c r="R113" s="93">
        <f t="shared" si="127"/>
        <v>3</v>
      </c>
      <c r="S113" s="93">
        <f t="shared" si="127"/>
        <v>3</v>
      </c>
      <c r="T113" s="93">
        <f t="shared" si="127"/>
        <v>4</v>
      </c>
      <c r="U113" s="93">
        <f t="shared" si="127"/>
        <v>4</v>
      </c>
      <c r="V113" s="93">
        <f t="shared" si="127"/>
        <v>4</v>
      </c>
      <c r="W113" s="93">
        <f t="shared" si="127"/>
        <v>5</v>
      </c>
      <c r="X113" s="93">
        <f t="shared" si="127"/>
        <v>5</v>
      </c>
      <c r="Y113" s="93">
        <f t="shared" si="127"/>
        <v>5</v>
      </c>
      <c r="Z113" s="93">
        <f t="shared" si="127"/>
        <v>6</v>
      </c>
      <c r="AA113" s="93">
        <f t="shared" si="127"/>
        <v>6</v>
      </c>
      <c r="AB113" s="93">
        <f t="shared" si="127"/>
        <v>6</v>
      </c>
      <c r="AC113" s="93">
        <f t="shared" si="127"/>
        <v>7</v>
      </c>
      <c r="AD113" s="93">
        <f t="shared" si="127"/>
        <v>7</v>
      </c>
      <c r="AE113" s="93">
        <f t="shared" si="127"/>
        <v>7</v>
      </c>
      <c r="AF113" s="93">
        <f t="shared" si="127"/>
        <v>8</v>
      </c>
      <c r="AG113" s="93">
        <f t="shared" si="127"/>
        <v>8</v>
      </c>
      <c r="AH113" s="93">
        <f t="shared" si="127"/>
        <v>8</v>
      </c>
      <c r="AI113" s="93">
        <f t="shared" si="127"/>
        <v>9</v>
      </c>
    </row>
    <row r="114" spans="1:35" x14ac:dyDescent="0.55000000000000004">
      <c r="B114" s="139" t="s">
        <v>52</v>
      </c>
      <c r="C114" s="153"/>
      <c r="D114" s="153"/>
      <c r="E114" s="153"/>
      <c r="F114" s="86" t="s">
        <v>29</v>
      </c>
      <c r="G114" s="153"/>
      <c r="H114" s="154"/>
      <c r="I114" s="86"/>
      <c r="J114" s="86"/>
      <c r="K114" s="86"/>
      <c r="L114" s="167"/>
      <c r="M114" s="155">
        <f t="shared" ref="M114:AI114" si="128">M18</f>
        <v>0</v>
      </c>
      <c r="N114" s="155">
        <f t="shared" si="128"/>
        <v>1</v>
      </c>
      <c r="O114" s="155">
        <f t="shared" si="128"/>
        <v>0</v>
      </c>
      <c r="P114" s="155">
        <f t="shared" si="128"/>
        <v>0</v>
      </c>
      <c r="Q114" s="155">
        <f t="shared" si="128"/>
        <v>1</v>
      </c>
      <c r="R114" s="155">
        <f t="shared" si="128"/>
        <v>0</v>
      </c>
      <c r="S114" s="155">
        <f t="shared" si="128"/>
        <v>0</v>
      </c>
      <c r="T114" s="155">
        <f t="shared" si="128"/>
        <v>1</v>
      </c>
      <c r="U114" s="155">
        <f t="shared" si="128"/>
        <v>0</v>
      </c>
      <c r="V114" s="155">
        <f t="shared" si="128"/>
        <v>0</v>
      </c>
      <c r="W114" s="155">
        <f t="shared" si="128"/>
        <v>1</v>
      </c>
      <c r="X114" s="155">
        <f t="shared" si="128"/>
        <v>0</v>
      </c>
      <c r="Y114" s="155">
        <f t="shared" si="128"/>
        <v>0</v>
      </c>
      <c r="Z114" s="155">
        <f t="shared" si="128"/>
        <v>1</v>
      </c>
      <c r="AA114" s="155">
        <f t="shared" si="128"/>
        <v>0</v>
      </c>
      <c r="AB114" s="155">
        <f t="shared" si="128"/>
        <v>0</v>
      </c>
      <c r="AC114" s="155">
        <f t="shared" si="128"/>
        <v>1</v>
      </c>
      <c r="AD114" s="155">
        <f t="shared" si="128"/>
        <v>0</v>
      </c>
      <c r="AE114" s="155">
        <f t="shared" si="128"/>
        <v>0</v>
      </c>
      <c r="AF114" s="155">
        <f t="shared" si="128"/>
        <v>1</v>
      </c>
      <c r="AG114" s="155">
        <f t="shared" si="128"/>
        <v>0</v>
      </c>
      <c r="AH114" s="155">
        <f t="shared" si="128"/>
        <v>0</v>
      </c>
      <c r="AI114" s="155">
        <f t="shared" si="128"/>
        <v>1</v>
      </c>
    </row>
    <row r="115" spans="1:35" x14ac:dyDescent="0.55000000000000004">
      <c r="B115" s="4" t="s">
        <v>48</v>
      </c>
      <c r="F115" s="86" t="s">
        <v>41</v>
      </c>
      <c r="H115" s="165">
        <f ca="1">Ctrl!H68</f>
        <v>180</v>
      </c>
      <c r="L115" s="4">
        <f ca="1">$H115</f>
        <v>180</v>
      </c>
      <c r="M115" s="121">
        <f ca="1">L115*(1+M$100)</f>
        <v>180</v>
      </c>
      <c r="N115" s="121">
        <f t="shared" ref="N115:AI115" ca="1" si="129">M115*(1+N$100)</f>
        <v>180</v>
      </c>
      <c r="O115" s="121">
        <f t="shared" ca="1" si="129"/>
        <v>180</v>
      </c>
      <c r="P115" s="121">
        <f t="shared" ca="1" si="129"/>
        <v>180</v>
      </c>
      <c r="Q115" s="121">
        <f t="shared" ca="1" si="129"/>
        <v>180</v>
      </c>
      <c r="R115" s="121">
        <f t="shared" ca="1" si="129"/>
        <v>180</v>
      </c>
      <c r="S115" s="121">
        <f t="shared" ca="1" si="129"/>
        <v>180</v>
      </c>
      <c r="T115" s="121">
        <f t="shared" ca="1" si="129"/>
        <v>180</v>
      </c>
      <c r="U115" s="121">
        <f t="shared" ca="1" si="129"/>
        <v>180</v>
      </c>
      <c r="V115" s="121">
        <f t="shared" ca="1" si="129"/>
        <v>180</v>
      </c>
      <c r="W115" s="121">
        <f t="shared" ca="1" si="129"/>
        <v>194.4</v>
      </c>
      <c r="X115" s="121">
        <f t="shared" ca="1" si="129"/>
        <v>194.4</v>
      </c>
      <c r="Y115" s="121">
        <f t="shared" ca="1" si="129"/>
        <v>194.4</v>
      </c>
      <c r="Z115" s="121">
        <f t="shared" ca="1" si="129"/>
        <v>194.4</v>
      </c>
      <c r="AA115" s="121">
        <f t="shared" ca="1" si="129"/>
        <v>194.4</v>
      </c>
      <c r="AB115" s="121">
        <f t="shared" ca="1" si="129"/>
        <v>194.4</v>
      </c>
      <c r="AC115" s="121">
        <f t="shared" ca="1" si="129"/>
        <v>194.4</v>
      </c>
      <c r="AD115" s="121">
        <f t="shared" ca="1" si="129"/>
        <v>194.4</v>
      </c>
      <c r="AE115" s="121">
        <f t="shared" ca="1" si="129"/>
        <v>194.4</v>
      </c>
      <c r="AF115" s="121">
        <f t="shared" ca="1" si="129"/>
        <v>194.4</v>
      </c>
      <c r="AG115" s="121">
        <f t="shared" ca="1" si="129"/>
        <v>194.4</v>
      </c>
      <c r="AH115" s="121">
        <f t="shared" ca="1" si="129"/>
        <v>194.4</v>
      </c>
      <c r="AI115" s="121">
        <f t="shared" ca="1" si="129"/>
        <v>194.4</v>
      </c>
    </row>
    <row r="116" spans="1:35" x14ac:dyDescent="0.55000000000000004">
      <c r="B116" s="88" t="s">
        <v>9</v>
      </c>
      <c r="C116" s="88"/>
      <c r="D116" s="88"/>
      <c r="E116" s="88"/>
      <c r="F116" s="89" t="s">
        <v>41</v>
      </c>
      <c r="G116" s="88"/>
      <c r="H116" s="151"/>
      <c r="I116" s="90"/>
      <c r="J116" s="90"/>
      <c r="K116" s="90"/>
      <c r="L116" s="166">
        <f ca="1">L113*L115/12</f>
        <v>15</v>
      </c>
      <c r="M116" s="166">
        <f t="shared" ref="M116:AI116" ca="1" si="130">M113*M115/12</f>
        <v>15</v>
      </c>
      <c r="N116" s="166">
        <f t="shared" ca="1" si="130"/>
        <v>30</v>
      </c>
      <c r="O116" s="166">
        <f t="shared" ca="1" si="130"/>
        <v>30</v>
      </c>
      <c r="P116" s="166">
        <f t="shared" ca="1" si="130"/>
        <v>30</v>
      </c>
      <c r="Q116" s="166">
        <f t="shared" ca="1" si="130"/>
        <v>45</v>
      </c>
      <c r="R116" s="166">
        <f t="shared" ca="1" si="130"/>
        <v>45</v>
      </c>
      <c r="S116" s="166">
        <f t="shared" ca="1" si="130"/>
        <v>45</v>
      </c>
      <c r="T116" s="166">
        <f t="shared" ca="1" si="130"/>
        <v>60</v>
      </c>
      <c r="U116" s="166">
        <f t="shared" ca="1" si="130"/>
        <v>60</v>
      </c>
      <c r="V116" s="166">
        <f t="shared" ca="1" si="130"/>
        <v>60</v>
      </c>
      <c r="W116" s="166">
        <f t="shared" ca="1" si="130"/>
        <v>81</v>
      </c>
      <c r="X116" s="166">
        <f t="shared" ca="1" si="130"/>
        <v>81</v>
      </c>
      <c r="Y116" s="166">
        <f t="shared" ca="1" si="130"/>
        <v>81</v>
      </c>
      <c r="Z116" s="166">
        <f t="shared" ca="1" si="130"/>
        <v>97.2</v>
      </c>
      <c r="AA116" s="166">
        <f t="shared" ca="1" si="130"/>
        <v>97.2</v>
      </c>
      <c r="AB116" s="166">
        <f t="shared" ca="1" si="130"/>
        <v>97.2</v>
      </c>
      <c r="AC116" s="166">
        <f t="shared" ca="1" si="130"/>
        <v>113.39999999999999</v>
      </c>
      <c r="AD116" s="166">
        <f t="shared" ca="1" si="130"/>
        <v>113.39999999999999</v>
      </c>
      <c r="AE116" s="166">
        <f t="shared" ca="1" si="130"/>
        <v>113.39999999999999</v>
      </c>
      <c r="AF116" s="166">
        <f t="shared" ca="1" si="130"/>
        <v>129.6</v>
      </c>
      <c r="AG116" s="166">
        <f t="shared" ca="1" si="130"/>
        <v>129.6</v>
      </c>
      <c r="AH116" s="166">
        <f t="shared" ca="1" si="130"/>
        <v>129.6</v>
      </c>
      <c r="AI116" s="166">
        <f t="shared" ca="1" si="130"/>
        <v>145.80000000000001</v>
      </c>
    </row>
    <row r="117" spans="1:35" x14ac:dyDescent="0.55000000000000004">
      <c r="H117" s="154"/>
    </row>
    <row r="118" spans="1:35" x14ac:dyDescent="0.55000000000000004">
      <c r="B118" s="72" t="s">
        <v>53</v>
      </c>
      <c r="H118" s="154"/>
    </row>
    <row r="119" spans="1:35" x14ac:dyDescent="0.55000000000000004">
      <c r="B119" s="4" t="s">
        <v>47</v>
      </c>
      <c r="F119" s="86" t="s">
        <v>29</v>
      </c>
      <c r="H119" s="154"/>
      <c r="L119" s="164">
        <v>1</v>
      </c>
      <c r="M119" s="93">
        <f ca="1">MAX(L119+M120,0)</f>
        <v>2</v>
      </c>
      <c r="N119" s="93">
        <f t="shared" ref="N119:AI119" ca="1" si="131">MAX(M119+N120,0)</f>
        <v>3</v>
      </c>
      <c r="O119" s="93">
        <f t="shared" ca="1" si="131"/>
        <v>3</v>
      </c>
      <c r="P119" s="93">
        <f t="shared" ca="1" si="131"/>
        <v>3</v>
      </c>
      <c r="Q119" s="93">
        <f t="shared" ca="1" si="131"/>
        <v>3</v>
      </c>
      <c r="R119" s="93">
        <f t="shared" ca="1" si="131"/>
        <v>3</v>
      </c>
      <c r="S119" s="93">
        <f t="shared" ca="1" si="131"/>
        <v>3</v>
      </c>
      <c r="T119" s="93">
        <f t="shared" ca="1" si="131"/>
        <v>3</v>
      </c>
      <c r="U119" s="93">
        <f t="shared" ca="1" si="131"/>
        <v>3</v>
      </c>
      <c r="V119" s="93">
        <f t="shared" ca="1" si="131"/>
        <v>3</v>
      </c>
      <c r="W119" s="93">
        <f t="shared" ca="1" si="131"/>
        <v>3</v>
      </c>
      <c r="X119" s="93">
        <f t="shared" ca="1" si="131"/>
        <v>3</v>
      </c>
      <c r="Y119" s="93">
        <f t="shared" ca="1" si="131"/>
        <v>3</v>
      </c>
      <c r="Z119" s="93">
        <f t="shared" ca="1" si="131"/>
        <v>3</v>
      </c>
      <c r="AA119" s="93">
        <f t="shared" ca="1" si="131"/>
        <v>4</v>
      </c>
      <c r="AB119" s="93">
        <f t="shared" ca="1" si="131"/>
        <v>4</v>
      </c>
      <c r="AC119" s="93">
        <f t="shared" ca="1" si="131"/>
        <v>4</v>
      </c>
      <c r="AD119" s="93">
        <f t="shared" ca="1" si="131"/>
        <v>4</v>
      </c>
      <c r="AE119" s="93">
        <f t="shared" ca="1" si="131"/>
        <v>4</v>
      </c>
      <c r="AF119" s="93">
        <f t="shared" ca="1" si="131"/>
        <v>5</v>
      </c>
      <c r="AG119" s="93">
        <f t="shared" ca="1" si="131"/>
        <v>5</v>
      </c>
      <c r="AH119" s="93">
        <f t="shared" ca="1" si="131"/>
        <v>5</v>
      </c>
      <c r="AI119" s="93">
        <f t="shared" ca="1" si="131"/>
        <v>6</v>
      </c>
    </row>
    <row r="120" spans="1:35" x14ac:dyDescent="0.55000000000000004">
      <c r="B120" s="139" t="s">
        <v>216</v>
      </c>
      <c r="C120" s="153"/>
      <c r="D120" s="153"/>
      <c r="E120" s="153"/>
      <c r="F120" s="86" t="s">
        <v>29</v>
      </c>
      <c r="G120" s="153"/>
      <c r="H120" s="154"/>
      <c r="I120" s="86"/>
      <c r="J120" s="86"/>
      <c r="K120" s="86"/>
      <c r="L120" s="167"/>
      <c r="M120" s="155">
        <f ca="1">M23-L23</f>
        <v>1</v>
      </c>
      <c r="N120" s="155">
        <f t="shared" ref="N120:AI120" ca="1" si="132">N23-M23</f>
        <v>1</v>
      </c>
      <c r="O120" s="155">
        <f t="shared" ca="1" si="132"/>
        <v>0</v>
      </c>
      <c r="P120" s="155">
        <f t="shared" ca="1" si="132"/>
        <v>0</v>
      </c>
      <c r="Q120" s="155">
        <f t="shared" ca="1" si="132"/>
        <v>0</v>
      </c>
      <c r="R120" s="155">
        <f t="shared" ca="1" si="132"/>
        <v>0</v>
      </c>
      <c r="S120" s="155">
        <f t="shared" ca="1" si="132"/>
        <v>0</v>
      </c>
      <c r="T120" s="155">
        <f t="shared" ca="1" si="132"/>
        <v>0</v>
      </c>
      <c r="U120" s="155">
        <f t="shared" ca="1" si="132"/>
        <v>0</v>
      </c>
      <c r="V120" s="155">
        <f t="shared" ca="1" si="132"/>
        <v>0</v>
      </c>
      <c r="W120" s="155">
        <f t="shared" ca="1" si="132"/>
        <v>0</v>
      </c>
      <c r="X120" s="155">
        <f t="shared" ca="1" si="132"/>
        <v>0</v>
      </c>
      <c r="Y120" s="155">
        <f t="shared" ca="1" si="132"/>
        <v>0</v>
      </c>
      <c r="Z120" s="155">
        <f t="shared" ca="1" si="132"/>
        <v>0</v>
      </c>
      <c r="AA120" s="155">
        <f t="shared" ca="1" si="132"/>
        <v>1</v>
      </c>
      <c r="AB120" s="155">
        <f t="shared" ca="1" si="132"/>
        <v>0</v>
      </c>
      <c r="AC120" s="155">
        <f t="shared" ca="1" si="132"/>
        <v>0</v>
      </c>
      <c r="AD120" s="155">
        <f t="shared" ca="1" si="132"/>
        <v>0</v>
      </c>
      <c r="AE120" s="155">
        <f t="shared" ca="1" si="132"/>
        <v>0</v>
      </c>
      <c r="AF120" s="155">
        <f t="shared" ca="1" si="132"/>
        <v>1</v>
      </c>
      <c r="AG120" s="155">
        <f t="shared" ca="1" si="132"/>
        <v>0</v>
      </c>
      <c r="AH120" s="155">
        <f t="shared" ca="1" si="132"/>
        <v>0</v>
      </c>
      <c r="AI120" s="155">
        <f t="shared" ca="1" si="132"/>
        <v>1</v>
      </c>
    </row>
    <row r="121" spans="1:35" x14ac:dyDescent="0.55000000000000004">
      <c r="B121" s="4" t="s">
        <v>48</v>
      </c>
      <c r="F121" s="86" t="s">
        <v>41</v>
      </c>
      <c r="H121" s="165">
        <f ca="1">Ctrl!H69</f>
        <v>120</v>
      </c>
      <c r="L121" s="4">
        <f ca="1">$H121</f>
        <v>120</v>
      </c>
      <c r="M121" s="121">
        <f ca="1">L121*(1+M$100)</f>
        <v>120</v>
      </c>
      <c r="N121" s="121">
        <f t="shared" ref="N121:AI121" ca="1" si="133">M121*(1+N$100)</f>
        <v>120</v>
      </c>
      <c r="O121" s="121">
        <f t="shared" ca="1" si="133"/>
        <v>120</v>
      </c>
      <c r="P121" s="121">
        <f t="shared" ca="1" si="133"/>
        <v>120</v>
      </c>
      <c r="Q121" s="121">
        <f t="shared" ca="1" si="133"/>
        <v>120</v>
      </c>
      <c r="R121" s="121">
        <f t="shared" ca="1" si="133"/>
        <v>120</v>
      </c>
      <c r="S121" s="121">
        <f t="shared" ca="1" si="133"/>
        <v>120</v>
      </c>
      <c r="T121" s="121">
        <f t="shared" ca="1" si="133"/>
        <v>120</v>
      </c>
      <c r="U121" s="121">
        <f t="shared" ca="1" si="133"/>
        <v>120</v>
      </c>
      <c r="V121" s="121">
        <f t="shared" ca="1" si="133"/>
        <v>120</v>
      </c>
      <c r="W121" s="121">
        <f t="shared" ca="1" si="133"/>
        <v>129.60000000000002</v>
      </c>
      <c r="X121" s="121">
        <f t="shared" ca="1" si="133"/>
        <v>129.60000000000002</v>
      </c>
      <c r="Y121" s="121">
        <f t="shared" ca="1" si="133"/>
        <v>129.60000000000002</v>
      </c>
      <c r="Z121" s="121">
        <f t="shared" ca="1" si="133"/>
        <v>129.60000000000002</v>
      </c>
      <c r="AA121" s="121">
        <f t="shared" ca="1" si="133"/>
        <v>129.60000000000002</v>
      </c>
      <c r="AB121" s="121">
        <f t="shared" ca="1" si="133"/>
        <v>129.60000000000002</v>
      </c>
      <c r="AC121" s="121">
        <f t="shared" ca="1" si="133"/>
        <v>129.60000000000002</v>
      </c>
      <c r="AD121" s="121">
        <f t="shared" ca="1" si="133"/>
        <v>129.60000000000002</v>
      </c>
      <c r="AE121" s="121">
        <f t="shared" ca="1" si="133"/>
        <v>129.60000000000002</v>
      </c>
      <c r="AF121" s="121">
        <f t="shared" ca="1" si="133"/>
        <v>129.60000000000002</v>
      </c>
      <c r="AG121" s="121">
        <f t="shared" ca="1" si="133"/>
        <v>129.60000000000002</v>
      </c>
      <c r="AH121" s="121">
        <f t="shared" ca="1" si="133"/>
        <v>129.60000000000002</v>
      </c>
      <c r="AI121" s="121">
        <f t="shared" ca="1" si="133"/>
        <v>129.60000000000002</v>
      </c>
    </row>
    <row r="122" spans="1:35" x14ac:dyDescent="0.55000000000000004">
      <c r="B122" s="88" t="s">
        <v>9</v>
      </c>
      <c r="C122" s="88"/>
      <c r="D122" s="88"/>
      <c r="E122" s="88"/>
      <c r="F122" s="89" t="s">
        <v>41</v>
      </c>
      <c r="G122" s="88"/>
      <c r="H122" s="90"/>
      <c r="I122" s="90"/>
      <c r="J122" s="90"/>
      <c r="K122" s="90"/>
      <c r="L122" s="166">
        <f ca="1">L119*L121/12</f>
        <v>10</v>
      </c>
      <c r="M122" s="166">
        <f t="shared" ref="M122:AI122" ca="1" si="134">M119*M121/12</f>
        <v>20</v>
      </c>
      <c r="N122" s="166">
        <f t="shared" ca="1" si="134"/>
        <v>30</v>
      </c>
      <c r="O122" s="166">
        <f t="shared" ca="1" si="134"/>
        <v>30</v>
      </c>
      <c r="P122" s="166">
        <f t="shared" ca="1" si="134"/>
        <v>30</v>
      </c>
      <c r="Q122" s="166">
        <f t="shared" ca="1" si="134"/>
        <v>30</v>
      </c>
      <c r="R122" s="166">
        <f t="shared" ca="1" si="134"/>
        <v>30</v>
      </c>
      <c r="S122" s="166">
        <f t="shared" ca="1" si="134"/>
        <v>30</v>
      </c>
      <c r="T122" s="166">
        <f t="shared" ca="1" si="134"/>
        <v>30</v>
      </c>
      <c r="U122" s="166">
        <f t="shared" ca="1" si="134"/>
        <v>30</v>
      </c>
      <c r="V122" s="166">
        <f t="shared" ca="1" si="134"/>
        <v>30</v>
      </c>
      <c r="W122" s="166">
        <f t="shared" ca="1" si="134"/>
        <v>32.400000000000006</v>
      </c>
      <c r="X122" s="166">
        <f t="shared" ca="1" si="134"/>
        <v>32.400000000000006</v>
      </c>
      <c r="Y122" s="166">
        <f t="shared" ca="1" si="134"/>
        <v>32.400000000000006</v>
      </c>
      <c r="Z122" s="166">
        <f t="shared" ca="1" si="134"/>
        <v>32.400000000000006</v>
      </c>
      <c r="AA122" s="166">
        <f t="shared" ca="1" si="134"/>
        <v>43.20000000000001</v>
      </c>
      <c r="AB122" s="166">
        <f t="shared" ca="1" si="134"/>
        <v>43.20000000000001</v>
      </c>
      <c r="AC122" s="166">
        <f t="shared" ca="1" si="134"/>
        <v>43.20000000000001</v>
      </c>
      <c r="AD122" s="166">
        <f t="shared" ca="1" si="134"/>
        <v>43.20000000000001</v>
      </c>
      <c r="AE122" s="166">
        <f t="shared" ca="1" si="134"/>
        <v>43.20000000000001</v>
      </c>
      <c r="AF122" s="166">
        <f t="shared" ca="1" si="134"/>
        <v>54.000000000000007</v>
      </c>
      <c r="AG122" s="166">
        <f t="shared" ca="1" si="134"/>
        <v>54.000000000000007</v>
      </c>
      <c r="AH122" s="166">
        <f t="shared" ca="1" si="134"/>
        <v>54.000000000000007</v>
      </c>
      <c r="AI122" s="166">
        <f t="shared" ca="1" si="134"/>
        <v>64.800000000000011</v>
      </c>
    </row>
    <row r="124" spans="1:35" x14ac:dyDescent="0.55000000000000004">
      <c r="A124" s="82" t="s">
        <v>10</v>
      </c>
      <c r="B124" s="83" t="s">
        <v>69</v>
      </c>
      <c r="C124" s="83"/>
      <c r="D124" s="83"/>
      <c r="E124" s="83"/>
      <c r="F124" s="84"/>
      <c r="G124" s="83"/>
      <c r="H124" s="85"/>
      <c r="I124" s="85"/>
      <c r="J124" s="85"/>
      <c r="K124" s="85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</row>
    <row r="126" spans="1:35" x14ac:dyDescent="0.55000000000000004">
      <c r="B126" s="4" t="s">
        <v>73</v>
      </c>
      <c r="F126" s="86" t="s">
        <v>41</v>
      </c>
      <c r="L126" s="168">
        <v>20</v>
      </c>
      <c r="M126" s="98">
        <f ca="1">L126*(1+M127)</f>
        <v>20</v>
      </c>
      <c r="N126" s="98">
        <f t="shared" ref="N126:AI126" ca="1" si="135">M126*(1+N127)</f>
        <v>21.400000000000002</v>
      </c>
      <c r="O126" s="98">
        <f t="shared" ca="1" si="135"/>
        <v>21.400000000000002</v>
      </c>
      <c r="P126" s="98">
        <f t="shared" ca="1" si="135"/>
        <v>21.400000000000002</v>
      </c>
      <c r="Q126" s="98">
        <f t="shared" ca="1" si="135"/>
        <v>22.898000000000003</v>
      </c>
      <c r="R126" s="98">
        <f t="shared" ca="1" si="135"/>
        <v>22.898000000000003</v>
      </c>
      <c r="S126" s="98">
        <f t="shared" ca="1" si="135"/>
        <v>22.898000000000003</v>
      </c>
      <c r="T126" s="98">
        <f t="shared" ca="1" si="135"/>
        <v>24.500860000000007</v>
      </c>
      <c r="U126" s="98">
        <f t="shared" ca="1" si="135"/>
        <v>24.500860000000007</v>
      </c>
      <c r="V126" s="98">
        <f t="shared" ca="1" si="135"/>
        <v>24.500860000000007</v>
      </c>
      <c r="W126" s="98">
        <f t="shared" ca="1" si="135"/>
        <v>26.21592020000001</v>
      </c>
      <c r="X126" s="98">
        <f t="shared" ca="1" si="135"/>
        <v>26.21592020000001</v>
      </c>
      <c r="Y126" s="98">
        <f t="shared" ca="1" si="135"/>
        <v>26.21592020000001</v>
      </c>
      <c r="Z126" s="98">
        <f t="shared" ca="1" si="135"/>
        <v>28.051034614000013</v>
      </c>
      <c r="AA126" s="98">
        <f t="shared" ca="1" si="135"/>
        <v>28.051034614000013</v>
      </c>
      <c r="AB126" s="98">
        <f t="shared" ca="1" si="135"/>
        <v>28.051034614000013</v>
      </c>
      <c r="AC126" s="98">
        <f t="shared" ca="1" si="135"/>
        <v>30.014607036980017</v>
      </c>
      <c r="AD126" s="98">
        <f t="shared" ca="1" si="135"/>
        <v>30.014607036980017</v>
      </c>
      <c r="AE126" s="98">
        <f t="shared" ca="1" si="135"/>
        <v>30.014607036980017</v>
      </c>
      <c r="AF126" s="98">
        <f t="shared" ca="1" si="135"/>
        <v>32.115629529568622</v>
      </c>
      <c r="AG126" s="98">
        <f t="shared" ca="1" si="135"/>
        <v>32.115629529568622</v>
      </c>
      <c r="AH126" s="98">
        <f t="shared" ca="1" si="135"/>
        <v>32.115629529568622</v>
      </c>
      <c r="AI126" s="98">
        <f t="shared" ca="1" si="135"/>
        <v>34.36372359663843</v>
      </c>
    </row>
    <row r="127" spans="1:35" x14ac:dyDescent="0.55000000000000004">
      <c r="B127" s="105" t="s">
        <v>74</v>
      </c>
      <c r="F127" s="86" t="s">
        <v>30</v>
      </c>
      <c r="H127" s="169">
        <f ca="1">Ctrl!H73</f>
        <v>7.0000000000000007E-2</v>
      </c>
      <c r="L127" s="146">
        <f t="shared" ref="L127:AI127" ca="1" si="136">$H127*L18</f>
        <v>0</v>
      </c>
      <c r="M127" s="146">
        <f t="shared" ca="1" si="136"/>
        <v>0</v>
      </c>
      <c r="N127" s="146">
        <f t="shared" ca="1" si="136"/>
        <v>7.0000000000000007E-2</v>
      </c>
      <c r="O127" s="146">
        <f t="shared" ca="1" si="136"/>
        <v>0</v>
      </c>
      <c r="P127" s="146">
        <f t="shared" ca="1" si="136"/>
        <v>0</v>
      </c>
      <c r="Q127" s="146">
        <f t="shared" ca="1" si="136"/>
        <v>7.0000000000000007E-2</v>
      </c>
      <c r="R127" s="146">
        <f t="shared" ca="1" si="136"/>
        <v>0</v>
      </c>
      <c r="S127" s="146">
        <f t="shared" ca="1" si="136"/>
        <v>0</v>
      </c>
      <c r="T127" s="146">
        <f t="shared" ca="1" si="136"/>
        <v>7.0000000000000007E-2</v>
      </c>
      <c r="U127" s="146">
        <f t="shared" ca="1" si="136"/>
        <v>0</v>
      </c>
      <c r="V127" s="146">
        <f t="shared" ca="1" si="136"/>
        <v>0</v>
      </c>
      <c r="W127" s="146">
        <f t="shared" ca="1" si="136"/>
        <v>7.0000000000000007E-2</v>
      </c>
      <c r="X127" s="146">
        <f t="shared" ca="1" si="136"/>
        <v>0</v>
      </c>
      <c r="Y127" s="146">
        <f t="shared" ca="1" si="136"/>
        <v>0</v>
      </c>
      <c r="Z127" s="146">
        <f t="shared" ca="1" si="136"/>
        <v>7.0000000000000007E-2</v>
      </c>
      <c r="AA127" s="146">
        <f t="shared" ca="1" si="136"/>
        <v>0</v>
      </c>
      <c r="AB127" s="146">
        <f t="shared" ca="1" si="136"/>
        <v>0</v>
      </c>
      <c r="AC127" s="146">
        <f t="shared" ca="1" si="136"/>
        <v>7.0000000000000007E-2</v>
      </c>
      <c r="AD127" s="146">
        <f t="shared" ca="1" si="136"/>
        <v>0</v>
      </c>
      <c r="AE127" s="146">
        <f t="shared" ca="1" si="136"/>
        <v>0</v>
      </c>
      <c r="AF127" s="146">
        <f t="shared" ca="1" si="136"/>
        <v>7.0000000000000007E-2</v>
      </c>
      <c r="AG127" s="146">
        <f t="shared" ca="1" si="136"/>
        <v>0</v>
      </c>
      <c r="AH127" s="146">
        <f t="shared" ca="1" si="136"/>
        <v>0</v>
      </c>
      <c r="AI127" s="146">
        <f t="shared" ca="1" si="136"/>
        <v>7.0000000000000007E-2</v>
      </c>
    </row>
    <row r="128" spans="1:35" x14ac:dyDescent="0.55000000000000004">
      <c r="B128" s="4" t="s">
        <v>75</v>
      </c>
      <c r="F128" s="86" t="s">
        <v>41</v>
      </c>
      <c r="H128" s="170">
        <f ca="1">Ctrl!H74</f>
        <v>200</v>
      </c>
      <c r="L128" s="98">
        <f t="shared" ref="L128:AI128" ca="1" si="137">$H128/10^3*(L34+L44)</f>
        <v>983</v>
      </c>
      <c r="M128" s="98">
        <f t="shared" ca="1" si="137"/>
        <v>589.80000000000007</v>
      </c>
      <c r="N128" s="98">
        <f t="shared" ca="1" si="137"/>
        <v>393.20000000000005</v>
      </c>
      <c r="O128" s="98">
        <f t="shared" ca="1" si="137"/>
        <v>138.234375</v>
      </c>
      <c r="P128" s="98">
        <f t="shared" ca="1" si="137"/>
        <v>132.63741875000002</v>
      </c>
      <c r="Q128" s="98">
        <f t="shared" ca="1" si="137"/>
        <v>128.93967993750002</v>
      </c>
      <c r="R128" s="98">
        <f t="shared" ca="1" si="137"/>
        <v>126.93045312687501</v>
      </c>
      <c r="S128" s="98">
        <f t="shared" ca="1" si="137"/>
        <v>126.43583110044375</v>
      </c>
      <c r="T128" s="98">
        <f t="shared" ca="1" si="137"/>
        <v>127.3135485939592</v>
      </c>
      <c r="U128" s="98">
        <f t="shared" ca="1" si="137"/>
        <v>129.44862491454805</v>
      </c>
      <c r="V128" s="98">
        <f t="shared" ca="1" si="137"/>
        <v>132.7496873897264</v>
      </c>
      <c r="W128" s="98">
        <f t="shared" ca="1" si="137"/>
        <v>137.14587542849321</v>
      </c>
      <c r="X128" s="98">
        <f t="shared" ca="1" si="137"/>
        <v>142.58424014175077</v>
      </c>
      <c r="Y128" s="98">
        <f t="shared" ca="1" si="137"/>
        <v>136.98581736994694</v>
      </c>
      <c r="Z128" s="98">
        <f t="shared" ca="1" si="137"/>
        <v>136.34284044137578</v>
      </c>
      <c r="AA128" s="98">
        <f t="shared" ca="1" si="137"/>
        <v>138.51424524947478</v>
      </c>
      <c r="AB128" s="98">
        <f t="shared" ca="1" si="137"/>
        <v>144.35188749756031</v>
      </c>
      <c r="AC128" s="98">
        <f t="shared" ca="1" si="137"/>
        <v>150.80603204091847</v>
      </c>
      <c r="AD128" s="98">
        <f t="shared" ca="1" si="137"/>
        <v>157.86269192653236</v>
      </c>
      <c r="AE128" s="98">
        <f t="shared" ca="1" si="137"/>
        <v>165.5136550908168</v>
      </c>
      <c r="AF128" s="98">
        <f t="shared" ca="1" si="137"/>
        <v>173.75574829159336</v>
      </c>
      <c r="AG128" s="98">
        <f t="shared" ca="1" si="137"/>
        <v>182.59021165687611</v>
      </c>
      <c r="AH128" s="98">
        <f t="shared" ca="1" si="137"/>
        <v>192.02216664906075</v>
      </c>
      <c r="AI128" s="98">
        <f t="shared" ca="1" si="137"/>
        <v>202.06016273706496</v>
      </c>
    </row>
    <row r="129" spans="1:35" x14ac:dyDescent="0.55000000000000004">
      <c r="B129" s="105" t="s">
        <v>76</v>
      </c>
      <c r="F129" s="86" t="s">
        <v>82</v>
      </c>
      <c r="L129" s="9">
        <f t="shared" ref="L129:AI129" ca="1" si="138">L128/SUM(L34,L44)*10^3</f>
        <v>200</v>
      </c>
      <c r="M129" s="9">
        <f t="shared" ca="1" si="138"/>
        <v>200</v>
      </c>
      <c r="N129" s="9">
        <f t="shared" ca="1" si="138"/>
        <v>200</v>
      </c>
      <c r="O129" s="9">
        <f t="shared" ca="1" si="138"/>
        <v>200</v>
      </c>
      <c r="P129" s="9">
        <f t="shared" ca="1" si="138"/>
        <v>200.00000000000003</v>
      </c>
      <c r="Q129" s="9">
        <f t="shared" ca="1" si="138"/>
        <v>200.00000000000003</v>
      </c>
      <c r="R129" s="9">
        <f t="shared" ca="1" si="138"/>
        <v>200</v>
      </c>
      <c r="S129" s="9">
        <f t="shared" ca="1" si="138"/>
        <v>200</v>
      </c>
      <c r="T129" s="9">
        <f t="shared" ca="1" si="138"/>
        <v>200</v>
      </c>
      <c r="U129" s="9">
        <f t="shared" ca="1" si="138"/>
        <v>199.99999999999997</v>
      </c>
      <c r="V129" s="9">
        <f t="shared" ca="1" si="138"/>
        <v>200.00000000000003</v>
      </c>
      <c r="W129" s="9">
        <f t="shared" ca="1" si="138"/>
        <v>200</v>
      </c>
      <c r="X129" s="9">
        <f t="shared" ca="1" si="138"/>
        <v>199.99999999999997</v>
      </c>
      <c r="Y129" s="9">
        <f t="shared" ca="1" si="138"/>
        <v>199.99999999999997</v>
      </c>
      <c r="Z129" s="9">
        <f t="shared" ca="1" si="138"/>
        <v>200</v>
      </c>
      <c r="AA129" s="9">
        <f t="shared" ca="1" si="138"/>
        <v>199.99999999999997</v>
      </c>
      <c r="AB129" s="9">
        <f t="shared" ca="1" si="138"/>
        <v>200</v>
      </c>
      <c r="AC129" s="9">
        <f t="shared" ca="1" si="138"/>
        <v>200</v>
      </c>
      <c r="AD129" s="9">
        <f t="shared" ca="1" si="138"/>
        <v>200</v>
      </c>
      <c r="AE129" s="9">
        <f t="shared" ca="1" si="138"/>
        <v>200</v>
      </c>
      <c r="AF129" s="9">
        <f t="shared" ca="1" si="138"/>
        <v>200</v>
      </c>
      <c r="AG129" s="9">
        <f t="shared" ca="1" si="138"/>
        <v>200</v>
      </c>
      <c r="AH129" s="9">
        <f t="shared" ca="1" si="138"/>
        <v>200</v>
      </c>
      <c r="AI129" s="9">
        <f t="shared" ca="1" si="138"/>
        <v>200</v>
      </c>
    </row>
    <row r="131" spans="1:35" x14ac:dyDescent="0.55000000000000004">
      <c r="B131" s="72" t="s">
        <v>83</v>
      </c>
    </row>
    <row r="132" spans="1:35" x14ac:dyDescent="0.55000000000000004">
      <c r="B132" s="4" t="s">
        <v>77</v>
      </c>
      <c r="F132" s="86" t="s">
        <v>29</v>
      </c>
      <c r="H132" s="82">
        <v>20</v>
      </c>
      <c r="L132" s="98">
        <f t="shared" ref="L132:AI132" ca="1" si="139">L24</f>
        <v>1</v>
      </c>
      <c r="M132" s="98">
        <f t="shared" ca="1" si="139"/>
        <v>1</v>
      </c>
      <c r="N132" s="98">
        <f t="shared" ca="1" si="139"/>
        <v>1</v>
      </c>
      <c r="O132" s="98">
        <f t="shared" ca="1" si="139"/>
        <v>1</v>
      </c>
      <c r="P132" s="98">
        <f t="shared" ca="1" si="139"/>
        <v>1</v>
      </c>
      <c r="Q132" s="98">
        <f t="shared" ca="1" si="139"/>
        <v>1</v>
      </c>
      <c r="R132" s="98">
        <f t="shared" ca="1" si="139"/>
        <v>1</v>
      </c>
      <c r="S132" s="98">
        <f t="shared" ca="1" si="139"/>
        <v>1</v>
      </c>
      <c r="T132" s="98">
        <f t="shared" ca="1" si="139"/>
        <v>1</v>
      </c>
      <c r="U132" s="98">
        <f t="shared" ca="1" si="139"/>
        <v>1</v>
      </c>
      <c r="V132" s="98">
        <f t="shared" ca="1" si="139"/>
        <v>1</v>
      </c>
      <c r="W132" s="98">
        <f t="shared" ca="1" si="139"/>
        <v>1</v>
      </c>
      <c r="X132" s="98">
        <f t="shared" ca="1" si="139"/>
        <v>1</v>
      </c>
      <c r="Y132" s="98">
        <f t="shared" ca="1" si="139"/>
        <v>1</v>
      </c>
      <c r="Z132" s="98">
        <f t="shared" ca="1" si="139"/>
        <v>1</v>
      </c>
      <c r="AA132" s="98">
        <f t="shared" ca="1" si="139"/>
        <v>1</v>
      </c>
      <c r="AB132" s="98">
        <f t="shared" ca="1" si="139"/>
        <v>1</v>
      </c>
      <c r="AC132" s="98">
        <f t="shared" ca="1" si="139"/>
        <v>1</v>
      </c>
      <c r="AD132" s="98">
        <f t="shared" ca="1" si="139"/>
        <v>1</v>
      </c>
      <c r="AE132" s="98">
        <f t="shared" ca="1" si="139"/>
        <v>1</v>
      </c>
      <c r="AF132" s="98">
        <f t="shared" ca="1" si="139"/>
        <v>1</v>
      </c>
      <c r="AG132" s="98">
        <f t="shared" ca="1" si="139"/>
        <v>1</v>
      </c>
      <c r="AH132" s="98">
        <f t="shared" ca="1" si="139"/>
        <v>1</v>
      </c>
      <c r="AI132" s="98">
        <f t="shared" ca="1" si="139"/>
        <v>2</v>
      </c>
    </row>
    <row r="133" spans="1:35" x14ac:dyDescent="0.55000000000000004">
      <c r="B133" s="4" t="s">
        <v>81</v>
      </c>
      <c r="F133" s="86" t="s">
        <v>41</v>
      </c>
      <c r="H133" s="4"/>
      <c r="L133" s="164">
        <v>10</v>
      </c>
      <c r="M133" s="4">
        <f>L133</f>
        <v>10</v>
      </c>
      <c r="N133" s="4">
        <f t="shared" ref="N133:AI134" si="140">M133</f>
        <v>10</v>
      </c>
      <c r="O133" s="4">
        <f t="shared" si="140"/>
        <v>10</v>
      </c>
      <c r="P133" s="4">
        <f t="shared" si="140"/>
        <v>10</v>
      </c>
      <c r="Q133" s="4">
        <f t="shared" si="140"/>
        <v>10</v>
      </c>
      <c r="R133" s="4">
        <f t="shared" si="140"/>
        <v>10</v>
      </c>
      <c r="S133" s="4">
        <f t="shared" si="140"/>
        <v>10</v>
      </c>
      <c r="T133" s="4">
        <f t="shared" si="140"/>
        <v>10</v>
      </c>
      <c r="U133" s="4">
        <f t="shared" si="140"/>
        <v>10</v>
      </c>
      <c r="V133" s="4">
        <f t="shared" si="140"/>
        <v>10</v>
      </c>
      <c r="W133" s="4">
        <f t="shared" si="140"/>
        <v>10</v>
      </c>
      <c r="X133" s="4">
        <f t="shared" si="140"/>
        <v>10</v>
      </c>
      <c r="Y133" s="4">
        <f t="shared" si="140"/>
        <v>10</v>
      </c>
      <c r="Z133" s="4">
        <f t="shared" si="140"/>
        <v>10</v>
      </c>
      <c r="AA133" s="4">
        <f t="shared" si="140"/>
        <v>10</v>
      </c>
      <c r="AB133" s="4">
        <f t="shared" si="140"/>
        <v>10</v>
      </c>
      <c r="AC133" s="4">
        <f t="shared" si="140"/>
        <v>10</v>
      </c>
      <c r="AD133" s="4">
        <f t="shared" si="140"/>
        <v>10</v>
      </c>
      <c r="AE133" s="4">
        <f t="shared" si="140"/>
        <v>10</v>
      </c>
      <c r="AF133" s="4">
        <f t="shared" si="140"/>
        <v>10</v>
      </c>
      <c r="AG133" s="4">
        <f t="shared" si="140"/>
        <v>10</v>
      </c>
      <c r="AH133" s="4">
        <f t="shared" si="140"/>
        <v>10</v>
      </c>
      <c r="AI133" s="4">
        <f t="shared" si="140"/>
        <v>10</v>
      </c>
    </row>
    <row r="134" spans="1:35" x14ac:dyDescent="0.55000000000000004">
      <c r="B134" s="4" t="s">
        <v>80</v>
      </c>
      <c r="F134" s="86" t="s">
        <v>41</v>
      </c>
      <c r="L134" s="164">
        <v>4</v>
      </c>
      <c r="M134" s="4">
        <f>L134</f>
        <v>4</v>
      </c>
      <c r="N134" s="4">
        <f t="shared" si="140"/>
        <v>4</v>
      </c>
      <c r="O134" s="4">
        <f t="shared" si="140"/>
        <v>4</v>
      </c>
      <c r="P134" s="4">
        <f t="shared" si="140"/>
        <v>4</v>
      </c>
      <c r="Q134" s="4">
        <f t="shared" si="140"/>
        <v>4</v>
      </c>
      <c r="R134" s="4">
        <f t="shared" si="140"/>
        <v>4</v>
      </c>
      <c r="S134" s="4">
        <f t="shared" si="140"/>
        <v>4</v>
      </c>
      <c r="T134" s="4">
        <f t="shared" si="140"/>
        <v>4</v>
      </c>
      <c r="U134" s="4">
        <f t="shared" si="140"/>
        <v>4</v>
      </c>
      <c r="V134" s="4">
        <f t="shared" si="140"/>
        <v>4</v>
      </c>
      <c r="W134" s="4">
        <f t="shared" si="140"/>
        <v>4</v>
      </c>
      <c r="X134" s="4">
        <f t="shared" si="140"/>
        <v>4</v>
      </c>
      <c r="Y134" s="4">
        <f t="shared" si="140"/>
        <v>4</v>
      </c>
      <c r="Z134" s="4">
        <f t="shared" si="140"/>
        <v>4</v>
      </c>
      <c r="AA134" s="4">
        <f t="shared" si="140"/>
        <v>4</v>
      </c>
      <c r="AB134" s="4">
        <f t="shared" si="140"/>
        <v>4</v>
      </c>
      <c r="AC134" s="4">
        <f t="shared" si="140"/>
        <v>4</v>
      </c>
      <c r="AD134" s="4">
        <f t="shared" si="140"/>
        <v>4</v>
      </c>
      <c r="AE134" s="4">
        <f t="shared" si="140"/>
        <v>4</v>
      </c>
      <c r="AF134" s="4">
        <f t="shared" si="140"/>
        <v>4</v>
      </c>
      <c r="AG134" s="4">
        <f t="shared" si="140"/>
        <v>4</v>
      </c>
      <c r="AH134" s="4">
        <f t="shared" si="140"/>
        <v>4</v>
      </c>
      <c r="AI134" s="4">
        <f t="shared" si="140"/>
        <v>4</v>
      </c>
    </row>
    <row r="135" spans="1:35" x14ac:dyDescent="0.55000000000000004">
      <c r="B135" s="88" t="s">
        <v>9</v>
      </c>
      <c r="C135" s="88"/>
      <c r="D135" s="88"/>
      <c r="E135" s="88"/>
      <c r="F135" s="89" t="s">
        <v>41</v>
      </c>
      <c r="G135" s="88"/>
      <c r="H135" s="90"/>
      <c r="I135" s="90"/>
      <c r="J135" s="90"/>
      <c r="K135" s="90"/>
      <c r="L135" s="88">
        <f ca="1">SUM(L133:L134)*L132</f>
        <v>14</v>
      </c>
      <c r="M135" s="88">
        <f t="shared" ref="M135:AI135" ca="1" si="141">SUM(M133:M134)*M132</f>
        <v>14</v>
      </c>
      <c r="N135" s="88">
        <f t="shared" ca="1" si="141"/>
        <v>14</v>
      </c>
      <c r="O135" s="88">
        <f t="shared" ca="1" si="141"/>
        <v>14</v>
      </c>
      <c r="P135" s="88">
        <f t="shared" ca="1" si="141"/>
        <v>14</v>
      </c>
      <c r="Q135" s="88">
        <f t="shared" ca="1" si="141"/>
        <v>14</v>
      </c>
      <c r="R135" s="88">
        <f t="shared" ca="1" si="141"/>
        <v>14</v>
      </c>
      <c r="S135" s="88">
        <f t="shared" ca="1" si="141"/>
        <v>14</v>
      </c>
      <c r="T135" s="88">
        <f t="shared" ca="1" si="141"/>
        <v>14</v>
      </c>
      <c r="U135" s="88">
        <f t="shared" ca="1" si="141"/>
        <v>14</v>
      </c>
      <c r="V135" s="88">
        <f t="shared" ca="1" si="141"/>
        <v>14</v>
      </c>
      <c r="W135" s="88">
        <f t="shared" ca="1" si="141"/>
        <v>14</v>
      </c>
      <c r="X135" s="88">
        <f t="shared" ca="1" si="141"/>
        <v>14</v>
      </c>
      <c r="Y135" s="88">
        <f t="shared" ca="1" si="141"/>
        <v>14</v>
      </c>
      <c r="Z135" s="88">
        <f t="shared" ca="1" si="141"/>
        <v>14</v>
      </c>
      <c r="AA135" s="88">
        <f t="shared" ca="1" si="141"/>
        <v>14</v>
      </c>
      <c r="AB135" s="88">
        <f t="shared" ca="1" si="141"/>
        <v>14</v>
      </c>
      <c r="AC135" s="88">
        <f t="shared" ca="1" si="141"/>
        <v>14</v>
      </c>
      <c r="AD135" s="88">
        <f t="shared" ca="1" si="141"/>
        <v>14</v>
      </c>
      <c r="AE135" s="88">
        <f t="shared" ca="1" si="141"/>
        <v>14</v>
      </c>
      <c r="AF135" s="88">
        <f t="shared" ca="1" si="141"/>
        <v>14</v>
      </c>
      <c r="AG135" s="88">
        <f t="shared" ca="1" si="141"/>
        <v>14</v>
      </c>
      <c r="AH135" s="88">
        <f t="shared" ca="1" si="141"/>
        <v>14</v>
      </c>
      <c r="AI135" s="88">
        <f t="shared" ca="1" si="141"/>
        <v>28</v>
      </c>
    </row>
    <row r="137" spans="1:35" x14ac:dyDescent="0.55000000000000004">
      <c r="B137" s="4" t="s">
        <v>84</v>
      </c>
      <c r="F137" s="86" t="s">
        <v>41</v>
      </c>
      <c r="H137" s="171">
        <v>0.05</v>
      </c>
      <c r="L137" s="98">
        <f t="shared" ref="L137:AI137" ca="1" si="142">$H137*L55</f>
        <v>3.5326562499999996</v>
      </c>
      <c r="M137" s="98">
        <f t="shared" ca="1" si="142"/>
        <v>8.7241250000000008</v>
      </c>
      <c r="N137" s="98">
        <f t="shared" ca="1" si="142"/>
        <v>11.173945312500003</v>
      </c>
      <c r="O137" s="98">
        <f t="shared" ca="1" si="142"/>
        <v>11.810975390625002</v>
      </c>
      <c r="P137" s="98">
        <f t="shared" ca="1" si="142"/>
        <v>11.578154144531251</v>
      </c>
      <c r="Q137" s="98">
        <f t="shared" ca="1" si="142"/>
        <v>11.487973839726562</v>
      </c>
      <c r="R137" s="98">
        <f t="shared" ca="1" si="142"/>
        <v>11.526578577823829</v>
      </c>
      <c r="S137" s="98">
        <f t="shared" ca="1" si="142"/>
        <v>11.682718662190442</v>
      </c>
      <c r="T137" s="98">
        <f t="shared" ca="1" si="142"/>
        <v>11.947396614874876</v>
      </c>
      <c r="U137" s="98">
        <f t="shared" ca="1" si="142"/>
        <v>12.313568877297556</v>
      </c>
      <c r="V137" s="98">
        <f t="shared" ca="1" si="142"/>
        <v>12.775895023182608</v>
      </c>
      <c r="W137" s="98">
        <f t="shared" ca="1" si="142"/>
        <v>13.330527550608478</v>
      </c>
      <c r="X137" s="98">
        <f t="shared" ca="1" si="142"/>
        <v>12.285405123583697</v>
      </c>
      <c r="Y137" s="98">
        <f t="shared" ca="1" si="142"/>
        <v>10.273588264377288</v>
      </c>
      <c r="Z137" s="98">
        <f t="shared" ca="1" si="142"/>
        <v>9.2944736834862702</v>
      </c>
      <c r="AA137" s="98">
        <f t="shared" ca="1" si="142"/>
        <v>9.1321700372487449</v>
      </c>
      <c r="AB137" s="98">
        <f t="shared" ca="1" si="142"/>
        <v>9.449334909511828</v>
      </c>
      <c r="AC137" s="98">
        <f t="shared" ca="1" si="142"/>
        <v>9.7993131633537267</v>
      </c>
      <c r="AD137" s="98">
        <f t="shared" ca="1" si="142"/>
        <v>10.180170874424709</v>
      </c>
      <c r="AE137" s="98">
        <f t="shared" ca="1" si="142"/>
        <v>10.59028863688085</v>
      </c>
      <c r="AF137" s="98">
        <f t="shared" ca="1" si="142"/>
        <v>11.028303164181473</v>
      </c>
      <c r="AG137" s="98">
        <f t="shared" ca="1" si="142"/>
        <v>11.493055959060978</v>
      </c>
      <c r="AH137" s="98">
        <f t="shared" ca="1" si="142"/>
        <v>11.983547810585007</v>
      </c>
      <c r="AI137" s="98">
        <f t="shared" ca="1" si="142"/>
        <v>12.498898045359001</v>
      </c>
    </row>
    <row r="139" spans="1:35" x14ac:dyDescent="0.55000000000000004">
      <c r="A139" s="82" t="s">
        <v>10</v>
      </c>
      <c r="B139" s="83" t="s">
        <v>62</v>
      </c>
      <c r="C139" s="83"/>
      <c r="D139" s="83"/>
      <c r="E139" s="83"/>
      <c r="F139" s="84"/>
      <c r="G139" s="83"/>
      <c r="H139" s="85"/>
      <c r="I139" s="85"/>
      <c r="J139" s="85"/>
      <c r="K139" s="85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</row>
    <row r="141" spans="1:35" x14ac:dyDescent="0.55000000000000004">
      <c r="B141" s="72" t="s">
        <v>64</v>
      </c>
    </row>
    <row r="142" spans="1:35" x14ac:dyDescent="0.55000000000000004">
      <c r="B142" s="4" t="s">
        <v>65</v>
      </c>
      <c r="F142" s="86" t="s">
        <v>41</v>
      </c>
      <c r="H142" s="82">
        <v>8</v>
      </c>
      <c r="L142" s="98">
        <f ca="1">$H142/365*L$55</f>
        <v>1.5485616438356162</v>
      </c>
      <c r="M142" s="98">
        <f t="shared" ref="M142:AI142" ca="1" si="143">$H142/365*M$55</f>
        <v>3.8242739726027399</v>
      </c>
      <c r="N142" s="98">
        <f t="shared" ca="1" si="143"/>
        <v>4.8981678082191786</v>
      </c>
      <c r="O142" s="98">
        <f t="shared" ca="1" si="143"/>
        <v>5.1774138698630141</v>
      </c>
      <c r="P142" s="98">
        <f t="shared" ca="1" si="143"/>
        <v>5.0753552414383565</v>
      </c>
      <c r="Q142" s="98">
        <f t="shared" ca="1" si="143"/>
        <v>5.0358241489212325</v>
      </c>
      <c r="R142" s="98">
        <f t="shared" ca="1" si="143"/>
        <v>5.0527467738405827</v>
      </c>
      <c r="S142" s="98">
        <f t="shared" ca="1" si="143"/>
        <v>5.1211917423300566</v>
      </c>
      <c r="T142" s="98">
        <f t="shared" ca="1" si="143"/>
        <v>5.2372149544656992</v>
      </c>
      <c r="U142" s="98">
        <f t="shared" ca="1" si="143"/>
        <v>5.3977288229249556</v>
      </c>
      <c r="V142" s="98">
        <f t="shared" ca="1" si="143"/>
        <v>5.6003923389293622</v>
      </c>
      <c r="W142" s="98">
        <f t="shared" ca="1" si="143"/>
        <v>5.8435189262941272</v>
      </c>
      <c r="X142" s="98">
        <f t="shared" ca="1" si="143"/>
        <v>5.3853830678723051</v>
      </c>
      <c r="Y142" s="98">
        <f t="shared" ca="1" si="143"/>
        <v>4.5034907460284002</v>
      </c>
      <c r="Z142" s="98">
        <f t="shared" ca="1" si="143"/>
        <v>4.0742898338569953</v>
      </c>
      <c r="AA142" s="98">
        <f t="shared" ca="1" si="143"/>
        <v>4.0031430300268465</v>
      </c>
      <c r="AB142" s="98">
        <f t="shared" ca="1" si="143"/>
        <v>4.1421742069092939</v>
      </c>
      <c r="AC142" s="98">
        <f t="shared" ca="1" si="143"/>
        <v>4.2955893318810858</v>
      </c>
      <c r="AD142" s="98">
        <f t="shared" ca="1" si="143"/>
        <v>4.4625406572820641</v>
      </c>
      <c r="AE142" s="98">
        <f t="shared" ca="1" si="143"/>
        <v>4.6423183065779066</v>
      </c>
      <c r="AF142" s="98">
        <f t="shared" ca="1" si="143"/>
        <v>4.8343246747096869</v>
      </c>
      <c r="AG142" s="98">
        <f t="shared" ca="1" si="143"/>
        <v>5.0380519272596063</v>
      </c>
      <c r="AH142" s="98">
        <f t="shared" ca="1" si="143"/>
        <v>5.2530620539550714</v>
      </c>
      <c r="AI142" s="98">
        <f t="shared" ca="1" si="143"/>
        <v>5.4789690061847676</v>
      </c>
    </row>
    <row r="143" spans="1:35" x14ac:dyDescent="0.55000000000000004">
      <c r="B143" s="4" t="s">
        <v>66</v>
      </c>
      <c r="F143" s="86" t="s">
        <v>41</v>
      </c>
      <c r="H143" s="171">
        <v>0.05</v>
      </c>
      <c r="L143" s="98">
        <f t="shared" ref="L143:AI143" ca="1" si="144">$H143*L57</f>
        <v>42.391874999999999</v>
      </c>
      <c r="M143" s="98">
        <f t="shared" ca="1" si="144"/>
        <v>104.68950000000001</v>
      </c>
      <c r="N143" s="98">
        <f t="shared" ca="1" si="144"/>
        <v>134.08734375</v>
      </c>
      <c r="O143" s="98">
        <f t="shared" ca="1" si="144"/>
        <v>141.73170468750001</v>
      </c>
      <c r="P143" s="98">
        <f t="shared" ca="1" si="144"/>
        <v>138.93784973437502</v>
      </c>
      <c r="Q143" s="98">
        <f t="shared" ca="1" si="144"/>
        <v>137.85568607671877</v>
      </c>
      <c r="R143" s="98">
        <f t="shared" ca="1" si="144"/>
        <v>138.31894293388595</v>
      </c>
      <c r="S143" s="98">
        <f t="shared" ca="1" si="144"/>
        <v>140.19262394628529</v>
      </c>
      <c r="T143" s="98">
        <f t="shared" ca="1" si="144"/>
        <v>143.36875937849851</v>
      </c>
      <c r="U143" s="98">
        <f t="shared" ca="1" si="144"/>
        <v>147.7628265275707</v>
      </c>
      <c r="V143" s="98">
        <f t="shared" ca="1" si="144"/>
        <v>153.3107402781913</v>
      </c>
      <c r="W143" s="98">
        <f t="shared" ca="1" si="144"/>
        <v>159.96633060730176</v>
      </c>
      <c r="X143" s="98">
        <f t="shared" ca="1" si="144"/>
        <v>147.42486148300435</v>
      </c>
      <c r="Y143" s="98">
        <f t="shared" ca="1" si="144"/>
        <v>123.28305917252747</v>
      </c>
      <c r="Z143" s="98">
        <f t="shared" ca="1" si="144"/>
        <v>111.53368420183524</v>
      </c>
      <c r="AA143" s="98">
        <f t="shared" ca="1" si="144"/>
        <v>109.58604044698494</v>
      </c>
      <c r="AB143" s="98">
        <f t="shared" ca="1" si="144"/>
        <v>113.39201891414194</v>
      </c>
      <c r="AC143" s="98">
        <f t="shared" ca="1" si="144"/>
        <v>117.59175796024472</v>
      </c>
      <c r="AD143" s="98">
        <f t="shared" ca="1" si="144"/>
        <v>122.1620504930965</v>
      </c>
      <c r="AE143" s="98">
        <f t="shared" ca="1" si="144"/>
        <v>127.08346364257018</v>
      </c>
      <c r="AF143" s="98">
        <f t="shared" ca="1" si="144"/>
        <v>132.33963797017768</v>
      </c>
      <c r="AG143" s="98">
        <f t="shared" ca="1" si="144"/>
        <v>137.91667150873172</v>
      </c>
      <c r="AH143" s="98">
        <f t="shared" ca="1" si="144"/>
        <v>143.80257372702008</v>
      </c>
      <c r="AI143" s="98">
        <f t="shared" ca="1" si="144"/>
        <v>149.98677654430799</v>
      </c>
    </row>
    <row r="144" spans="1:35" x14ac:dyDescent="0.55000000000000004">
      <c r="B144" s="4" t="s">
        <v>67</v>
      </c>
      <c r="F144" s="86" t="s">
        <v>41</v>
      </c>
      <c r="L144" s="98">
        <f t="shared" ref="L144:AI144" ca="1" si="145">L145*L57</f>
        <v>67.826999999999984</v>
      </c>
      <c r="M144" s="98">
        <f t="shared" ca="1" si="145"/>
        <v>167.50319999999999</v>
      </c>
      <c r="N144" s="98">
        <f t="shared" ca="1" si="145"/>
        <v>209.17625624999999</v>
      </c>
      <c r="O144" s="98">
        <f t="shared" ca="1" si="145"/>
        <v>221.1014593125</v>
      </c>
      <c r="P144" s="98">
        <f t="shared" ca="1" si="145"/>
        <v>216.743045585625</v>
      </c>
      <c r="Q144" s="98">
        <f t="shared" ca="1" si="145"/>
        <v>209.54064283661251</v>
      </c>
      <c r="R144" s="98">
        <f t="shared" ca="1" si="145"/>
        <v>210.24479325950665</v>
      </c>
      <c r="S144" s="98">
        <f t="shared" ca="1" si="145"/>
        <v>213.09278839835363</v>
      </c>
      <c r="T144" s="98">
        <f t="shared" ca="1" si="145"/>
        <v>212.18576388017777</v>
      </c>
      <c r="U144" s="98">
        <f t="shared" ca="1" si="145"/>
        <v>218.6889832608046</v>
      </c>
      <c r="V144" s="98">
        <f t="shared" ca="1" si="145"/>
        <v>226.89989561172311</v>
      </c>
      <c r="W144" s="98">
        <f t="shared" ca="1" si="145"/>
        <v>230.35151607451448</v>
      </c>
      <c r="X144" s="98">
        <f t="shared" ca="1" si="145"/>
        <v>212.29180053552622</v>
      </c>
      <c r="Y144" s="98">
        <f t="shared" ca="1" si="145"/>
        <v>177.52760520843952</v>
      </c>
      <c r="Z144" s="98">
        <f t="shared" ca="1" si="145"/>
        <v>156.14715788256933</v>
      </c>
      <c r="AA144" s="98">
        <f t="shared" ca="1" si="145"/>
        <v>153.42045662577888</v>
      </c>
      <c r="AB144" s="98">
        <f t="shared" ca="1" si="145"/>
        <v>158.74882647979868</v>
      </c>
      <c r="AC144" s="98">
        <f t="shared" ca="1" si="145"/>
        <v>159.9247908259328</v>
      </c>
      <c r="AD144" s="98">
        <f t="shared" ca="1" si="145"/>
        <v>166.1403886706112</v>
      </c>
      <c r="AE144" s="98">
        <f t="shared" ca="1" si="145"/>
        <v>172.83351055389542</v>
      </c>
      <c r="AF144" s="98">
        <f t="shared" ca="1" si="145"/>
        <v>174.6883221206345</v>
      </c>
      <c r="AG144" s="98">
        <f t="shared" ca="1" si="145"/>
        <v>182.05000639152584</v>
      </c>
      <c r="AH144" s="98">
        <f t="shared" ca="1" si="145"/>
        <v>189.81939731966648</v>
      </c>
      <c r="AI144" s="98">
        <f t="shared" ca="1" si="145"/>
        <v>191.98307397671419</v>
      </c>
    </row>
    <row r="145" spans="1:35" x14ac:dyDescent="0.55000000000000004">
      <c r="B145" s="9" t="s">
        <v>85</v>
      </c>
      <c r="F145" s="86" t="s">
        <v>41</v>
      </c>
      <c r="H145" s="171">
        <v>2E-3</v>
      </c>
      <c r="L145" s="172">
        <v>0.08</v>
      </c>
      <c r="M145" s="173">
        <f t="shared" ref="M145:AI145" si="146">L145-$H145*M18</f>
        <v>0.08</v>
      </c>
      <c r="N145" s="173">
        <f t="shared" si="146"/>
        <v>7.8E-2</v>
      </c>
      <c r="O145" s="173">
        <f t="shared" si="146"/>
        <v>7.8E-2</v>
      </c>
      <c r="P145" s="173">
        <f t="shared" si="146"/>
        <v>7.8E-2</v>
      </c>
      <c r="Q145" s="173">
        <f t="shared" si="146"/>
        <v>7.5999999999999998E-2</v>
      </c>
      <c r="R145" s="173">
        <f t="shared" si="146"/>
        <v>7.5999999999999998E-2</v>
      </c>
      <c r="S145" s="173">
        <f t="shared" si="146"/>
        <v>7.5999999999999998E-2</v>
      </c>
      <c r="T145" s="173">
        <f t="shared" si="146"/>
        <v>7.3999999999999996E-2</v>
      </c>
      <c r="U145" s="173">
        <f t="shared" si="146"/>
        <v>7.3999999999999996E-2</v>
      </c>
      <c r="V145" s="173">
        <f t="shared" si="146"/>
        <v>7.3999999999999996E-2</v>
      </c>
      <c r="W145" s="173">
        <f t="shared" si="146"/>
        <v>7.1999999999999995E-2</v>
      </c>
      <c r="X145" s="173">
        <f t="shared" si="146"/>
        <v>7.1999999999999995E-2</v>
      </c>
      <c r="Y145" s="173">
        <f t="shared" si="146"/>
        <v>7.1999999999999995E-2</v>
      </c>
      <c r="Z145" s="173">
        <f t="shared" si="146"/>
        <v>6.9999999999999993E-2</v>
      </c>
      <c r="AA145" s="173">
        <f t="shared" si="146"/>
        <v>6.9999999999999993E-2</v>
      </c>
      <c r="AB145" s="173">
        <f t="shared" si="146"/>
        <v>6.9999999999999993E-2</v>
      </c>
      <c r="AC145" s="173">
        <f t="shared" si="146"/>
        <v>6.7999999999999991E-2</v>
      </c>
      <c r="AD145" s="173">
        <f t="shared" si="146"/>
        <v>6.7999999999999991E-2</v>
      </c>
      <c r="AE145" s="173">
        <f t="shared" si="146"/>
        <v>6.7999999999999991E-2</v>
      </c>
      <c r="AF145" s="173">
        <f t="shared" si="146"/>
        <v>6.5999999999999989E-2</v>
      </c>
      <c r="AG145" s="173">
        <f t="shared" si="146"/>
        <v>6.5999999999999989E-2</v>
      </c>
      <c r="AH145" s="173">
        <f t="shared" si="146"/>
        <v>6.5999999999999989E-2</v>
      </c>
      <c r="AI145" s="173">
        <f t="shared" si="146"/>
        <v>6.3999999999999987E-2</v>
      </c>
    </row>
    <row r="146" spans="1:35" x14ac:dyDescent="0.55000000000000004">
      <c r="B146" s="88" t="s">
        <v>9</v>
      </c>
      <c r="C146" s="88"/>
      <c r="D146" s="88"/>
      <c r="E146" s="88"/>
      <c r="F146" s="89" t="s">
        <v>41</v>
      </c>
      <c r="G146" s="88"/>
      <c r="H146" s="90"/>
      <c r="I146" s="90"/>
      <c r="J146" s="90"/>
      <c r="K146" s="90"/>
      <c r="L146" s="152">
        <f ca="1">L142-L143-L144</f>
        <v>-108.67031335616437</v>
      </c>
      <c r="M146" s="152">
        <f t="shared" ref="M146:AI146" ca="1" si="147">M142-M143-M144</f>
        <v>-268.36842602739728</v>
      </c>
      <c r="N146" s="152">
        <f t="shared" ca="1" si="147"/>
        <v>-338.36543219178083</v>
      </c>
      <c r="O146" s="152">
        <f t="shared" ca="1" si="147"/>
        <v>-357.65575013013699</v>
      </c>
      <c r="P146" s="152">
        <f t="shared" ca="1" si="147"/>
        <v>-350.60554007856166</v>
      </c>
      <c r="Q146" s="152">
        <f t="shared" ca="1" si="147"/>
        <v>-342.36050476441005</v>
      </c>
      <c r="R146" s="152">
        <f t="shared" ca="1" si="147"/>
        <v>-343.510989419552</v>
      </c>
      <c r="S146" s="152">
        <f t="shared" ca="1" si="147"/>
        <v>-348.16422060230889</v>
      </c>
      <c r="T146" s="152">
        <f t="shared" ca="1" si="147"/>
        <v>-350.3173083042106</v>
      </c>
      <c r="U146" s="152">
        <f t="shared" ca="1" si="147"/>
        <v>-361.05408096545034</v>
      </c>
      <c r="V146" s="152">
        <f t="shared" ca="1" si="147"/>
        <v>-374.61024355098505</v>
      </c>
      <c r="W146" s="152">
        <f t="shared" ca="1" si="147"/>
        <v>-384.4743277555221</v>
      </c>
      <c r="X146" s="152">
        <f t="shared" ca="1" si="147"/>
        <v>-354.33127895065826</v>
      </c>
      <c r="Y146" s="152">
        <f t="shared" ca="1" si="147"/>
        <v>-296.30717363493858</v>
      </c>
      <c r="Z146" s="152">
        <f t="shared" ca="1" si="147"/>
        <v>-263.60655225054757</v>
      </c>
      <c r="AA146" s="152">
        <f t="shared" ca="1" si="147"/>
        <v>-259.00335404273699</v>
      </c>
      <c r="AB146" s="152">
        <f t="shared" ca="1" si="147"/>
        <v>-267.99867118703133</v>
      </c>
      <c r="AC146" s="152">
        <f t="shared" ca="1" si="147"/>
        <v>-273.22095945429646</v>
      </c>
      <c r="AD146" s="152">
        <f t="shared" ca="1" si="147"/>
        <v>-283.83989850642564</v>
      </c>
      <c r="AE146" s="152">
        <f t="shared" ca="1" si="147"/>
        <v>-295.2746558898877</v>
      </c>
      <c r="AF146" s="152">
        <f t="shared" ca="1" si="147"/>
        <v>-302.1936354161025</v>
      </c>
      <c r="AG146" s="152">
        <f t="shared" ca="1" si="147"/>
        <v>-314.92862597299796</v>
      </c>
      <c r="AH146" s="152">
        <f t="shared" ca="1" si="147"/>
        <v>-328.36890899273146</v>
      </c>
      <c r="AI146" s="152">
        <f t="shared" ca="1" si="147"/>
        <v>-336.49088151483738</v>
      </c>
    </row>
    <row r="147" spans="1:35" x14ac:dyDescent="0.55000000000000004">
      <c r="B147" s="4" t="s">
        <v>68</v>
      </c>
      <c r="F147" s="86" t="s">
        <v>41</v>
      </c>
      <c r="L147" s="98">
        <f ca="1">L146-K146</f>
        <v>-108.67031335616437</v>
      </c>
      <c r="M147" s="98">
        <f t="shared" ref="M147:AI147" ca="1" si="148">M146-L146</f>
        <v>-159.69811267123291</v>
      </c>
      <c r="N147" s="98">
        <f t="shared" ca="1" si="148"/>
        <v>-69.997006164383549</v>
      </c>
      <c r="O147" s="98">
        <f t="shared" ca="1" si="148"/>
        <v>-19.290317938356168</v>
      </c>
      <c r="P147" s="98">
        <f t="shared" ca="1" si="148"/>
        <v>7.0502100515753341</v>
      </c>
      <c r="Q147" s="98">
        <f t="shared" ca="1" si="148"/>
        <v>8.2450353141516075</v>
      </c>
      <c r="R147" s="98">
        <f t="shared" ca="1" si="148"/>
        <v>-1.1504846551419519</v>
      </c>
      <c r="S147" s="98">
        <f t="shared" ca="1" si="148"/>
        <v>-4.6532311827568833</v>
      </c>
      <c r="T147" s="98">
        <f t="shared" ca="1" si="148"/>
        <v>-2.1530877019017112</v>
      </c>
      <c r="U147" s="98">
        <f t="shared" ca="1" si="148"/>
        <v>-10.736772661239741</v>
      </c>
      <c r="V147" s="98">
        <f t="shared" ca="1" si="148"/>
        <v>-13.556162585534707</v>
      </c>
      <c r="W147" s="98">
        <f t="shared" ca="1" si="148"/>
        <v>-9.8640842045370505</v>
      </c>
      <c r="X147" s="98">
        <f t="shared" ca="1" si="148"/>
        <v>30.143048804863838</v>
      </c>
      <c r="Y147" s="98">
        <f t="shared" ca="1" si="148"/>
        <v>58.02410531571968</v>
      </c>
      <c r="Z147" s="98">
        <f t="shared" ca="1" si="148"/>
        <v>32.700621384391013</v>
      </c>
      <c r="AA147" s="98">
        <f t="shared" ca="1" si="148"/>
        <v>4.6031982078105784</v>
      </c>
      <c r="AB147" s="98">
        <f t="shared" ca="1" si="148"/>
        <v>-8.9953171442943471</v>
      </c>
      <c r="AC147" s="98">
        <f t="shared" ca="1" si="148"/>
        <v>-5.2222882672651281</v>
      </c>
      <c r="AD147" s="98">
        <f t="shared" ca="1" si="148"/>
        <v>-10.618939052129178</v>
      </c>
      <c r="AE147" s="98">
        <f t="shared" ca="1" si="148"/>
        <v>-11.434757383462056</v>
      </c>
      <c r="AF147" s="98">
        <f t="shared" ca="1" si="148"/>
        <v>-6.9189795262147982</v>
      </c>
      <c r="AG147" s="98">
        <f t="shared" ca="1" si="148"/>
        <v>-12.734990556895468</v>
      </c>
      <c r="AH147" s="98">
        <f t="shared" ca="1" si="148"/>
        <v>-13.440283019733499</v>
      </c>
      <c r="AI147" s="98">
        <f t="shared" ca="1" si="148"/>
        <v>-8.1219725221059207</v>
      </c>
    </row>
    <row r="149" spans="1:35" x14ac:dyDescent="0.55000000000000004">
      <c r="B149" s="72" t="s">
        <v>117</v>
      </c>
    </row>
    <row r="150" spans="1:35" x14ac:dyDescent="0.55000000000000004">
      <c r="B150" s="4" t="s">
        <v>15</v>
      </c>
      <c r="F150" s="86" t="s">
        <v>41</v>
      </c>
      <c r="L150" s="98">
        <f>K152</f>
        <v>0</v>
      </c>
      <c r="M150" s="98">
        <f t="shared" ref="M150:AI150" ca="1" si="149">L152</f>
        <v>371.69687500000003</v>
      </c>
      <c r="N150" s="98">
        <f t="shared" ca="1" si="149"/>
        <v>932.62125000000015</v>
      </c>
      <c r="O150" s="98">
        <f t="shared" ca="1" si="149"/>
        <v>1216.4625000000001</v>
      </c>
      <c r="P150" s="98">
        <f t="shared" ca="1" si="149"/>
        <v>1295.5325625</v>
      </c>
      <c r="Q150" s="98">
        <f t="shared" ca="1" si="149"/>
        <v>1263.3571293750001</v>
      </c>
      <c r="R150" s="98">
        <f t="shared" ca="1" si="149"/>
        <v>1228.9294159312501</v>
      </c>
      <c r="S150" s="98">
        <f t="shared" ca="1" si="149"/>
        <v>1192.0917625464376</v>
      </c>
      <c r="T150" s="98">
        <f t="shared" ca="1" si="149"/>
        <v>1152.6754734246883</v>
      </c>
      <c r="U150" s="98">
        <f t="shared" ca="1" si="149"/>
        <v>1110.5000440644164</v>
      </c>
      <c r="V150" s="98">
        <f t="shared" ca="1" si="149"/>
        <v>1065.3723346489255</v>
      </c>
      <c r="W150" s="98">
        <f t="shared" ca="1" si="149"/>
        <v>1017.0856855743502</v>
      </c>
      <c r="X150" s="98">
        <f t="shared" ca="1" si="149"/>
        <v>965.41897106455485</v>
      </c>
      <c r="Y150" s="98">
        <f t="shared" ca="1" si="149"/>
        <v>943.92621153907373</v>
      </c>
      <c r="Z150" s="98">
        <f t="shared" ca="1" si="149"/>
        <v>963.52204165930891</v>
      </c>
      <c r="AA150" s="98">
        <f t="shared" ca="1" si="149"/>
        <v>998.38766395046048</v>
      </c>
      <c r="AB150" s="98">
        <f t="shared" ca="1" si="149"/>
        <v>1038.4714691769927</v>
      </c>
      <c r="AC150" s="98">
        <f t="shared" ca="1" si="149"/>
        <v>1079.4239242381323</v>
      </c>
      <c r="AD150" s="98">
        <f t="shared" ca="1" si="149"/>
        <v>1124.0313492651139</v>
      </c>
      <c r="AE150" s="98">
        <f t="shared" ca="1" si="149"/>
        <v>1172.6047730233563</v>
      </c>
      <c r="AF150" s="98">
        <f t="shared" ca="1" si="149"/>
        <v>1225.4808589526035</v>
      </c>
      <c r="AG150" s="98">
        <f t="shared" ca="1" si="149"/>
        <v>1283.0239699803808</v>
      </c>
      <c r="AH150" s="98">
        <f t="shared" ca="1" si="149"/>
        <v>1345.6283967994293</v>
      </c>
      <c r="AI150" s="98">
        <f t="shared" ca="1" si="149"/>
        <v>1413.7207623764907</v>
      </c>
    </row>
    <row r="151" spans="1:35" x14ac:dyDescent="0.55000000000000004">
      <c r="B151" s="4" t="s">
        <v>118</v>
      </c>
      <c r="F151" s="86" t="s">
        <v>41</v>
      </c>
      <c r="L151" s="98">
        <f ca="1">L56-L55</f>
        <v>371.69687500000003</v>
      </c>
      <c r="M151" s="98">
        <f t="shared" ref="M151:AI151" ca="1" si="150">M56-M55</f>
        <v>560.92437500000005</v>
      </c>
      <c r="N151" s="98">
        <f t="shared" ca="1" si="150"/>
        <v>283.84125</v>
      </c>
      <c r="O151" s="98">
        <f t="shared" ca="1" si="150"/>
        <v>79.070062500000006</v>
      </c>
      <c r="P151" s="98">
        <f t="shared" ca="1" si="150"/>
        <v>-32.175433125000012</v>
      </c>
      <c r="Q151" s="98">
        <f t="shared" ca="1" si="150"/>
        <v>-34.42771344374998</v>
      </c>
      <c r="R151" s="98">
        <f t="shared" ca="1" si="150"/>
        <v>-36.837653384812484</v>
      </c>
      <c r="S151" s="98">
        <f t="shared" ca="1" si="150"/>
        <v>-39.416289121749372</v>
      </c>
      <c r="T151" s="98">
        <f t="shared" ca="1" si="150"/>
        <v>-42.175429360271835</v>
      </c>
      <c r="U151" s="98">
        <f t="shared" ca="1" si="150"/>
        <v>-45.127709415490841</v>
      </c>
      <c r="V151" s="98">
        <f t="shared" ca="1" si="150"/>
        <v>-48.28664907457528</v>
      </c>
      <c r="W151" s="98">
        <f t="shared" ca="1" si="150"/>
        <v>-51.66671450979544</v>
      </c>
      <c r="X151" s="98">
        <f t="shared" ca="1" si="150"/>
        <v>-21.492759525481148</v>
      </c>
      <c r="Y151" s="98">
        <f t="shared" ca="1" si="150"/>
        <v>19.595830120235149</v>
      </c>
      <c r="Z151" s="98">
        <f t="shared" ca="1" si="150"/>
        <v>34.865622291151595</v>
      </c>
      <c r="AA151" s="98">
        <f t="shared" ca="1" si="150"/>
        <v>40.083805226532206</v>
      </c>
      <c r="AB151" s="98">
        <f t="shared" ca="1" si="150"/>
        <v>40.95245506113946</v>
      </c>
      <c r="AC151" s="98">
        <f t="shared" ca="1" si="150"/>
        <v>44.60742502698173</v>
      </c>
      <c r="AD151" s="98">
        <f t="shared" ca="1" si="150"/>
        <v>48.573423758242342</v>
      </c>
      <c r="AE151" s="98">
        <f t="shared" ca="1" si="150"/>
        <v>52.876085929247182</v>
      </c>
      <c r="AF151" s="98">
        <f t="shared" ca="1" si="150"/>
        <v>57.543111027777371</v>
      </c>
      <c r="AG151" s="98">
        <f t="shared" ca="1" si="150"/>
        <v>62.604426819048484</v>
      </c>
      <c r="AH151" s="98">
        <f t="shared" ca="1" si="150"/>
        <v>68.092365577061344</v>
      </c>
      <c r="AI151" s="98">
        <f t="shared" ca="1" si="150"/>
        <v>74.041854069782715</v>
      </c>
    </row>
    <row r="152" spans="1:35" x14ac:dyDescent="0.55000000000000004">
      <c r="B152" s="88" t="s">
        <v>17</v>
      </c>
      <c r="C152" s="88"/>
      <c r="D152" s="88"/>
      <c r="E152" s="88"/>
      <c r="F152" s="89" t="s">
        <v>41</v>
      </c>
      <c r="G152" s="88"/>
      <c r="H152" s="90"/>
      <c r="I152" s="90"/>
      <c r="J152" s="90"/>
      <c r="K152" s="90"/>
      <c r="L152" s="152">
        <f ca="1">SUM(L150:L151)</f>
        <v>371.69687500000003</v>
      </c>
      <c r="M152" s="152">
        <f t="shared" ref="M152:AI152" ca="1" si="151">SUM(M150:M151)</f>
        <v>932.62125000000015</v>
      </c>
      <c r="N152" s="152">
        <f t="shared" ca="1" si="151"/>
        <v>1216.4625000000001</v>
      </c>
      <c r="O152" s="152">
        <f t="shared" ca="1" si="151"/>
        <v>1295.5325625</v>
      </c>
      <c r="P152" s="152">
        <f t="shared" ca="1" si="151"/>
        <v>1263.3571293750001</v>
      </c>
      <c r="Q152" s="152">
        <f t="shared" ca="1" si="151"/>
        <v>1228.9294159312501</v>
      </c>
      <c r="R152" s="152">
        <f t="shared" ca="1" si="151"/>
        <v>1192.0917625464376</v>
      </c>
      <c r="S152" s="152">
        <f t="shared" ca="1" si="151"/>
        <v>1152.6754734246883</v>
      </c>
      <c r="T152" s="152">
        <f t="shared" ca="1" si="151"/>
        <v>1110.5000440644164</v>
      </c>
      <c r="U152" s="152">
        <f t="shared" ca="1" si="151"/>
        <v>1065.3723346489255</v>
      </c>
      <c r="V152" s="152">
        <f t="shared" ca="1" si="151"/>
        <v>1017.0856855743502</v>
      </c>
      <c r="W152" s="152">
        <f t="shared" ca="1" si="151"/>
        <v>965.41897106455485</v>
      </c>
      <c r="X152" s="152">
        <f t="shared" ca="1" si="151"/>
        <v>943.92621153907373</v>
      </c>
      <c r="Y152" s="152">
        <f t="shared" ca="1" si="151"/>
        <v>963.52204165930891</v>
      </c>
      <c r="Z152" s="152">
        <f t="shared" ca="1" si="151"/>
        <v>998.38766395046048</v>
      </c>
      <c r="AA152" s="152">
        <f t="shared" ca="1" si="151"/>
        <v>1038.4714691769927</v>
      </c>
      <c r="AB152" s="152">
        <f t="shared" ca="1" si="151"/>
        <v>1079.4239242381323</v>
      </c>
      <c r="AC152" s="152">
        <f t="shared" ca="1" si="151"/>
        <v>1124.0313492651139</v>
      </c>
      <c r="AD152" s="152">
        <f t="shared" ca="1" si="151"/>
        <v>1172.6047730233563</v>
      </c>
      <c r="AE152" s="152">
        <f t="shared" ca="1" si="151"/>
        <v>1225.4808589526035</v>
      </c>
      <c r="AF152" s="152">
        <f t="shared" ca="1" si="151"/>
        <v>1283.0239699803808</v>
      </c>
      <c r="AG152" s="152">
        <f t="shared" ca="1" si="151"/>
        <v>1345.6283967994293</v>
      </c>
      <c r="AH152" s="152">
        <f t="shared" ca="1" si="151"/>
        <v>1413.7207623764907</v>
      </c>
      <c r="AI152" s="152">
        <f t="shared" ca="1" si="151"/>
        <v>1487.7626164462733</v>
      </c>
    </row>
    <row r="154" spans="1:35" x14ac:dyDescent="0.55000000000000004">
      <c r="A154" s="82" t="s">
        <v>10</v>
      </c>
      <c r="B154" s="115" t="s">
        <v>86</v>
      </c>
      <c r="C154" s="115"/>
      <c r="D154" s="115"/>
      <c r="E154" s="115"/>
      <c r="F154" s="116"/>
      <c r="G154" s="115"/>
      <c r="H154" s="117"/>
      <c r="I154" s="117"/>
      <c r="J154" s="117"/>
      <c r="K154" s="11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9A84-9EB3-4624-8644-A12B5B207B7F}">
  <sheetPr>
    <tabColor theme="1"/>
  </sheetPr>
  <dimension ref="A1:J20"/>
  <sheetViews>
    <sheetView showGridLines="0" zoomScale="85" zoomScaleNormal="85" workbookViewId="0"/>
  </sheetViews>
  <sheetFormatPr defaultColWidth="0" defaultRowHeight="14.4" zeroHeight="1" x14ac:dyDescent="0.55000000000000004"/>
  <cols>
    <col min="1" max="1" width="2.578125" customWidth="1"/>
    <col min="2" max="9" width="8.83984375" customWidth="1"/>
    <col min="10" max="10" width="2.578125" customWidth="1"/>
    <col min="11" max="16384" width="8.83984375" hidden="1"/>
  </cols>
  <sheetData>
    <row r="1" spans="2:9" x14ac:dyDescent="0.55000000000000004"/>
    <row r="2" spans="2:9" x14ac:dyDescent="0.55000000000000004"/>
    <row r="3" spans="2:9" x14ac:dyDescent="0.55000000000000004"/>
    <row r="4" spans="2:9" x14ac:dyDescent="0.55000000000000004"/>
    <row r="5" spans="2:9" x14ac:dyDescent="0.55000000000000004"/>
    <row r="6" spans="2:9" x14ac:dyDescent="0.55000000000000004"/>
    <row r="7" spans="2:9" ht="14.7" thickBot="1" x14ac:dyDescent="0.6">
      <c r="B7" s="2"/>
      <c r="C7" s="2"/>
      <c r="D7" s="2"/>
      <c r="E7" s="2"/>
      <c r="F7" s="3"/>
      <c r="G7" s="3"/>
      <c r="H7" s="3"/>
      <c r="I7" s="3"/>
    </row>
    <row r="8" spans="2:9" ht="3" customHeight="1" x14ac:dyDescent="0.55000000000000004">
      <c r="B8" s="4"/>
      <c r="C8" s="4"/>
      <c r="D8" s="4"/>
      <c r="E8" s="4"/>
      <c r="F8" s="5"/>
      <c r="G8" s="5"/>
      <c r="H8" s="5"/>
      <c r="I8" s="5"/>
    </row>
    <row r="9" spans="2:9" ht="15.6" x14ac:dyDescent="0.55000000000000004">
      <c r="B9" s="6" t="s">
        <v>248</v>
      </c>
      <c r="C9" s="4"/>
      <c r="D9" s="4"/>
      <c r="E9" s="4"/>
      <c r="F9" s="5"/>
      <c r="G9" s="5"/>
      <c r="H9" s="5"/>
      <c r="I9" s="5"/>
    </row>
    <row r="10" spans="2:9" x14ac:dyDescent="0.55000000000000004">
      <c r="B10" s="7" t="s">
        <v>186</v>
      </c>
      <c r="C10" s="4"/>
      <c r="D10" s="4"/>
      <c r="E10" s="4"/>
    </row>
    <row r="11" spans="2:9" x14ac:dyDescent="0.55000000000000004">
      <c r="B11" s="9" t="s">
        <v>187</v>
      </c>
      <c r="C11" s="4"/>
      <c r="D11" s="4"/>
      <c r="E11" s="4"/>
      <c r="F11" s="10"/>
      <c r="G11" s="10"/>
      <c r="H11" s="10"/>
      <c r="I11" s="10"/>
    </row>
    <row r="12" spans="2:9" ht="3" customHeight="1" thickBot="1" x14ac:dyDescent="0.6">
      <c r="B12" s="2"/>
      <c r="C12" s="2"/>
      <c r="D12" s="2"/>
      <c r="E12" s="2"/>
      <c r="F12" s="3"/>
      <c r="G12" s="3"/>
      <c r="H12" s="3"/>
      <c r="I12" s="3"/>
    </row>
    <row r="13" spans="2:9" x14ac:dyDescent="0.55000000000000004">
      <c r="B13" s="4"/>
      <c r="C13" s="4"/>
      <c r="D13" s="4"/>
      <c r="E13" s="4"/>
      <c r="F13" s="5"/>
      <c r="G13" s="5"/>
      <c r="H13" s="5"/>
      <c r="I13" s="5"/>
    </row>
    <row r="14" spans="2:9" x14ac:dyDescent="0.55000000000000004"/>
    <row r="15" spans="2:9" x14ac:dyDescent="0.55000000000000004"/>
    <row r="16" spans="2:9" x14ac:dyDescent="0.55000000000000004"/>
    <row r="17" customFormat="1" x14ac:dyDescent="0.55000000000000004"/>
    <row r="18" customFormat="1" x14ac:dyDescent="0.55000000000000004"/>
    <row r="19" customFormat="1" x14ac:dyDescent="0.55000000000000004"/>
    <row r="20" customFormat="1" x14ac:dyDescent="0.55000000000000004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8405-B056-458F-A034-02F51D03D5F9}">
  <dimension ref="A1:AJ93"/>
  <sheetViews>
    <sheetView showGridLines="0" zoomScale="85" zoomScaleNormal="85" workbookViewId="0">
      <pane xSplit="11" ySplit="13" topLeftCell="L14" activePane="bottomRight" state="frozen"/>
      <selection activeCell="Q137" sqref="Q137"/>
      <selection pane="topRight" activeCell="Q137" sqref="Q137"/>
      <selection pane="bottomLeft" activeCell="Q137" sqref="Q137"/>
      <selection pane="bottomRight"/>
    </sheetView>
  </sheetViews>
  <sheetFormatPr defaultColWidth="0" defaultRowHeight="12.9" x14ac:dyDescent="0.55000000000000004"/>
  <cols>
    <col min="1" max="1" width="2.578125" style="1" customWidth="1"/>
    <col min="2" max="5" width="9.15625" style="4" customWidth="1"/>
    <col min="6" max="6" width="9.15625" style="86" customWidth="1"/>
    <col min="7" max="7" width="9.15625" style="4" customWidth="1"/>
    <col min="8" max="11" width="9.15625" style="5" customWidth="1"/>
    <col min="12" max="35" width="9.15625" style="4" customWidth="1"/>
    <col min="36" max="36" width="2.578125" style="4" customWidth="1"/>
    <col min="37" max="16384" width="8.83984375" style="4" hidden="1"/>
  </cols>
  <sheetData>
    <row r="1" spans="1:35" ht="6" customHeight="1" thickBot="1" x14ac:dyDescent="0.6">
      <c r="B1" s="2"/>
      <c r="C1" s="2"/>
      <c r="D1" s="2"/>
      <c r="E1" s="2"/>
      <c r="F1" s="3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3" customHeight="1" x14ac:dyDescent="0.55000000000000004">
      <c r="F2" s="5"/>
    </row>
    <row r="3" spans="1:35" ht="15.6" x14ac:dyDescent="0.55000000000000004">
      <c r="B3" s="6" t="str">
        <f>'Calc.Mth'!B3</f>
        <v>Project Eagle</v>
      </c>
      <c r="F3" s="5"/>
    </row>
    <row r="4" spans="1:35" ht="14.4" x14ac:dyDescent="0.55000000000000004">
      <c r="B4" s="7" t="s">
        <v>109</v>
      </c>
      <c r="F4" s="5"/>
      <c r="G4" s="8" t="s">
        <v>138</v>
      </c>
      <c r="H4" s="8" t="s">
        <v>176</v>
      </c>
      <c r="I4" s="8" t="s">
        <v>178</v>
      </c>
      <c r="J4" s="8" t="s">
        <v>177</v>
      </c>
      <c r="K4" s="8" t="s">
        <v>184</v>
      </c>
    </row>
    <row r="5" spans="1:35" x14ac:dyDescent="0.55000000000000004">
      <c r="B5" s="9" t="str">
        <f ca="1">Ctrl!$B$5</f>
        <v>CASE 1: BASE CASE</v>
      </c>
      <c r="F5" s="5"/>
      <c r="G5" s="11">
        <f ca="1">Sum!$E$19</f>
        <v>16</v>
      </c>
      <c r="H5" s="12">
        <f ca="1">Sum!$E$28</f>
        <v>3259.9200858489485</v>
      </c>
      <c r="I5" s="13">
        <f ca="1">Sum!$E$21</f>
        <v>45626</v>
      </c>
      <c r="J5" s="12">
        <f ca="1">'Calc.Mth'!$AI$57</f>
        <v>2999.7355308861597</v>
      </c>
      <c r="K5" s="12">
        <f ca="1">Fin.Mth!$AI$81</f>
        <v>1487.7626164462733</v>
      </c>
    </row>
    <row r="6" spans="1:35" ht="3" customHeight="1" x14ac:dyDescent="0.55000000000000004">
      <c r="F6" s="5"/>
    </row>
    <row r="7" spans="1:35" s="72" customFormat="1" x14ac:dyDescent="0.55000000000000004">
      <c r="A7" s="71"/>
      <c r="B7" s="72" t="str">
        <f>'Calc.Mth'!B7</f>
        <v>Period End</v>
      </c>
      <c r="F7" s="73"/>
      <c r="H7" s="74"/>
      <c r="I7" s="74"/>
      <c r="J7" s="74"/>
      <c r="K7" s="74"/>
      <c r="L7" s="75">
        <f>'Calc.Mth'!L7</f>
        <v>45322</v>
      </c>
      <c r="M7" s="75">
        <f>'Calc.Mth'!M7</f>
        <v>45351</v>
      </c>
      <c r="N7" s="118">
        <f>'Calc.Mth'!N7</f>
        <v>45382</v>
      </c>
      <c r="O7" s="118">
        <f>'Calc.Mth'!O7</f>
        <v>45412</v>
      </c>
      <c r="P7" s="118">
        <f>'Calc.Mth'!P7</f>
        <v>45443</v>
      </c>
      <c r="Q7" s="118">
        <f>'Calc.Mth'!Q7</f>
        <v>45473</v>
      </c>
      <c r="R7" s="118">
        <f>'Calc.Mth'!R7</f>
        <v>45504</v>
      </c>
      <c r="S7" s="118">
        <f>'Calc.Mth'!S7</f>
        <v>45535</v>
      </c>
      <c r="T7" s="118">
        <f>'Calc.Mth'!T7</f>
        <v>45565</v>
      </c>
      <c r="U7" s="118">
        <f>'Calc.Mth'!U7</f>
        <v>45596</v>
      </c>
      <c r="V7" s="118">
        <f>'Calc.Mth'!V7</f>
        <v>45626</v>
      </c>
      <c r="W7" s="118">
        <f>'Calc.Mth'!W7</f>
        <v>45657</v>
      </c>
      <c r="X7" s="118">
        <f>'Calc.Mth'!X7</f>
        <v>45688</v>
      </c>
      <c r="Y7" s="118">
        <f>'Calc.Mth'!Y7</f>
        <v>45716</v>
      </c>
      <c r="Z7" s="118">
        <f>'Calc.Mth'!Z7</f>
        <v>45747</v>
      </c>
      <c r="AA7" s="118">
        <f>'Calc.Mth'!AA7</f>
        <v>45777</v>
      </c>
      <c r="AB7" s="118">
        <f>'Calc.Mth'!AB7</f>
        <v>45808</v>
      </c>
      <c r="AC7" s="118">
        <f>'Calc.Mth'!AC7</f>
        <v>45838</v>
      </c>
      <c r="AD7" s="118">
        <f>'Calc.Mth'!AD7</f>
        <v>45869</v>
      </c>
      <c r="AE7" s="118">
        <f>'Calc.Mth'!AE7</f>
        <v>45900</v>
      </c>
      <c r="AF7" s="118">
        <f>'Calc.Mth'!AF7</f>
        <v>45930</v>
      </c>
      <c r="AG7" s="118">
        <f>'Calc.Mth'!AG7</f>
        <v>45961</v>
      </c>
      <c r="AH7" s="118">
        <f>'Calc.Mth'!AH7</f>
        <v>45991</v>
      </c>
      <c r="AI7" s="118">
        <f>'Calc.Mth'!AI7</f>
        <v>46022</v>
      </c>
    </row>
    <row r="8" spans="1:35" x14ac:dyDescent="0.55000000000000004">
      <c r="B8" s="4" t="str">
        <f>'Calc.Mth'!B8</f>
        <v>Period Start</v>
      </c>
      <c r="F8" s="5"/>
      <c r="H8" s="76"/>
      <c r="I8" s="76"/>
      <c r="J8" s="76"/>
      <c r="K8" s="76"/>
      <c r="L8" s="77">
        <f>'Calc.Mth'!L8</f>
        <v>45292</v>
      </c>
      <c r="M8" s="77">
        <f>'Calc.Mth'!M8</f>
        <v>45323</v>
      </c>
      <c r="N8" s="119">
        <f>'Calc.Mth'!N8</f>
        <v>45352</v>
      </c>
      <c r="O8" s="119">
        <f>'Calc.Mth'!O8</f>
        <v>45383</v>
      </c>
      <c r="P8" s="119">
        <f>'Calc.Mth'!P8</f>
        <v>45413</v>
      </c>
      <c r="Q8" s="119">
        <f>'Calc.Mth'!Q8</f>
        <v>45444</v>
      </c>
      <c r="R8" s="119">
        <f>'Calc.Mth'!R8</f>
        <v>45474</v>
      </c>
      <c r="S8" s="119">
        <f>'Calc.Mth'!S8</f>
        <v>45505</v>
      </c>
      <c r="T8" s="119">
        <f>'Calc.Mth'!T8</f>
        <v>45536</v>
      </c>
      <c r="U8" s="119">
        <f>'Calc.Mth'!U8</f>
        <v>45566</v>
      </c>
      <c r="V8" s="119">
        <f>'Calc.Mth'!V8</f>
        <v>45597</v>
      </c>
      <c r="W8" s="119">
        <f>'Calc.Mth'!W8</f>
        <v>45627</v>
      </c>
      <c r="X8" s="119">
        <f>'Calc.Mth'!X8</f>
        <v>45658</v>
      </c>
      <c r="Y8" s="119">
        <f>'Calc.Mth'!Y8</f>
        <v>45689</v>
      </c>
      <c r="Z8" s="119">
        <f>'Calc.Mth'!Z8</f>
        <v>45717</v>
      </c>
      <c r="AA8" s="119">
        <f>'Calc.Mth'!AA8</f>
        <v>45748</v>
      </c>
      <c r="AB8" s="119">
        <f>'Calc.Mth'!AB8</f>
        <v>45778</v>
      </c>
      <c r="AC8" s="119">
        <f>'Calc.Mth'!AC8</f>
        <v>45809</v>
      </c>
      <c r="AD8" s="119">
        <f>'Calc.Mth'!AD8</f>
        <v>45839</v>
      </c>
      <c r="AE8" s="119">
        <f>'Calc.Mth'!AE8</f>
        <v>45870</v>
      </c>
      <c r="AF8" s="119">
        <f>'Calc.Mth'!AF8</f>
        <v>45901</v>
      </c>
      <c r="AG8" s="119">
        <f>'Calc.Mth'!AG8</f>
        <v>45931</v>
      </c>
      <c r="AH8" s="119">
        <f>'Calc.Mth'!AH8</f>
        <v>45962</v>
      </c>
      <c r="AI8" s="119">
        <f>'Calc.Mth'!AI8</f>
        <v>45992</v>
      </c>
    </row>
    <row r="9" spans="1:35" x14ac:dyDescent="0.55000000000000004">
      <c r="B9" s="4" t="str">
        <f>'Calc.Mth'!B9</f>
        <v>Calendar Year</v>
      </c>
      <c r="F9" s="5"/>
      <c r="H9" s="76"/>
      <c r="I9" s="76"/>
      <c r="J9" s="76"/>
      <c r="K9" s="76"/>
      <c r="L9" s="78">
        <f>'Calc.Mth'!L9</f>
        <v>2024</v>
      </c>
      <c r="M9" s="78">
        <f>'Calc.Mth'!M9</f>
        <v>2024</v>
      </c>
      <c r="N9" s="4">
        <f>'Calc.Mth'!N9</f>
        <v>2024</v>
      </c>
      <c r="O9" s="4">
        <f>'Calc.Mth'!O9</f>
        <v>2024</v>
      </c>
      <c r="P9" s="4">
        <f>'Calc.Mth'!P9</f>
        <v>2024</v>
      </c>
      <c r="Q9" s="4">
        <f>'Calc.Mth'!Q9</f>
        <v>2024</v>
      </c>
      <c r="R9" s="4">
        <f>'Calc.Mth'!R9</f>
        <v>2024</v>
      </c>
      <c r="S9" s="4">
        <f>'Calc.Mth'!S9</f>
        <v>2024</v>
      </c>
      <c r="T9" s="4">
        <f>'Calc.Mth'!T9</f>
        <v>2024</v>
      </c>
      <c r="U9" s="4">
        <f>'Calc.Mth'!U9</f>
        <v>2024</v>
      </c>
      <c r="V9" s="4">
        <f>'Calc.Mth'!V9</f>
        <v>2024</v>
      </c>
      <c r="W9" s="4">
        <f>'Calc.Mth'!W9</f>
        <v>2024</v>
      </c>
      <c r="X9" s="4">
        <f>'Calc.Mth'!X9</f>
        <v>2025</v>
      </c>
      <c r="Y9" s="4">
        <f>'Calc.Mth'!Y9</f>
        <v>2025</v>
      </c>
      <c r="Z9" s="4">
        <f>'Calc.Mth'!Z9</f>
        <v>2025</v>
      </c>
      <c r="AA9" s="4">
        <f>'Calc.Mth'!AA9</f>
        <v>2025</v>
      </c>
      <c r="AB9" s="4">
        <f>'Calc.Mth'!AB9</f>
        <v>2025</v>
      </c>
      <c r="AC9" s="4">
        <f>'Calc.Mth'!AC9</f>
        <v>2025</v>
      </c>
      <c r="AD9" s="4">
        <f>'Calc.Mth'!AD9</f>
        <v>2025</v>
      </c>
      <c r="AE9" s="4">
        <f>'Calc.Mth'!AE9</f>
        <v>2025</v>
      </c>
      <c r="AF9" s="4">
        <f>'Calc.Mth'!AF9</f>
        <v>2025</v>
      </c>
      <c r="AG9" s="4">
        <f>'Calc.Mth'!AG9</f>
        <v>2025</v>
      </c>
      <c r="AH9" s="4">
        <f>'Calc.Mth'!AH9</f>
        <v>2025</v>
      </c>
      <c r="AI9" s="4">
        <f>'Calc.Mth'!AI9</f>
        <v>2025</v>
      </c>
    </row>
    <row r="10" spans="1:35" x14ac:dyDescent="0.55000000000000004">
      <c r="B10" s="4" t="str">
        <f>'Calc.Mth'!B10</f>
        <v>Period Number</v>
      </c>
      <c r="F10" s="5"/>
      <c r="H10" s="76"/>
      <c r="I10" s="76"/>
      <c r="J10" s="76"/>
      <c r="K10" s="76"/>
      <c r="L10" s="78">
        <f>'Calc.Mth'!L10</f>
        <v>1</v>
      </c>
      <c r="M10" s="78">
        <f>'Calc.Mth'!M10</f>
        <v>2</v>
      </c>
      <c r="N10" s="4">
        <f>'Calc.Mth'!N10</f>
        <v>3</v>
      </c>
      <c r="O10" s="4">
        <f>'Calc.Mth'!O10</f>
        <v>4</v>
      </c>
      <c r="P10" s="4">
        <f>'Calc.Mth'!P10</f>
        <v>5</v>
      </c>
      <c r="Q10" s="4">
        <f>'Calc.Mth'!Q10</f>
        <v>6</v>
      </c>
      <c r="R10" s="4">
        <f>'Calc.Mth'!R10</f>
        <v>7</v>
      </c>
      <c r="S10" s="4">
        <f>'Calc.Mth'!S10</f>
        <v>8</v>
      </c>
      <c r="T10" s="4">
        <f>'Calc.Mth'!T10</f>
        <v>9</v>
      </c>
      <c r="U10" s="4">
        <f>'Calc.Mth'!U10</f>
        <v>10</v>
      </c>
      <c r="V10" s="4">
        <f>'Calc.Mth'!V10</f>
        <v>11</v>
      </c>
      <c r="W10" s="4">
        <f>'Calc.Mth'!W10</f>
        <v>12</v>
      </c>
      <c r="X10" s="4">
        <f>'Calc.Mth'!X10</f>
        <v>13</v>
      </c>
      <c r="Y10" s="4">
        <f>'Calc.Mth'!Y10</f>
        <v>14</v>
      </c>
      <c r="Z10" s="4">
        <f>'Calc.Mth'!Z10</f>
        <v>15</v>
      </c>
      <c r="AA10" s="4">
        <f>'Calc.Mth'!AA10</f>
        <v>16</v>
      </c>
      <c r="AB10" s="4">
        <f>'Calc.Mth'!AB10</f>
        <v>17</v>
      </c>
      <c r="AC10" s="4">
        <f>'Calc.Mth'!AC10</f>
        <v>18</v>
      </c>
      <c r="AD10" s="4">
        <f>'Calc.Mth'!AD10</f>
        <v>19</v>
      </c>
      <c r="AE10" s="4">
        <f>'Calc.Mth'!AE10</f>
        <v>20</v>
      </c>
      <c r="AF10" s="4">
        <f>'Calc.Mth'!AF10</f>
        <v>21</v>
      </c>
      <c r="AG10" s="4">
        <f>'Calc.Mth'!AG10</f>
        <v>22</v>
      </c>
      <c r="AH10" s="4">
        <f>'Calc.Mth'!AH10</f>
        <v>23</v>
      </c>
      <c r="AI10" s="4">
        <f>'Calc.Mth'!AI10</f>
        <v>24</v>
      </c>
    </row>
    <row r="11" spans="1:35" x14ac:dyDescent="0.55000000000000004">
      <c r="B11" s="4" t="str">
        <f>'Calc.Mth'!B11</f>
        <v>Days in Period</v>
      </c>
      <c r="F11" s="79" t="str">
        <f>'Calc.Mth'!F11</f>
        <v>Units</v>
      </c>
      <c r="G11" s="80"/>
      <c r="H11" s="81" t="str">
        <f>'Calc.Mth'!H11</f>
        <v>Input I</v>
      </c>
      <c r="I11" s="81" t="str">
        <f>'Calc.Mth'!I11</f>
        <v>Input II</v>
      </c>
      <c r="J11" s="81" t="str">
        <f>'Calc.Mth'!J11</f>
        <v>Input III</v>
      </c>
      <c r="K11" s="81" t="str">
        <f>'Calc.Mth'!K11</f>
        <v>Total / Out</v>
      </c>
      <c r="L11" s="78">
        <f>'Calc.Mth'!L11</f>
        <v>31</v>
      </c>
      <c r="M11" s="78">
        <f>'Calc.Mth'!M11</f>
        <v>29</v>
      </c>
      <c r="N11" s="4">
        <f>'Calc.Mth'!N11</f>
        <v>31</v>
      </c>
      <c r="O11" s="4">
        <f>'Calc.Mth'!O11</f>
        <v>30</v>
      </c>
      <c r="P11" s="4">
        <f>'Calc.Mth'!P11</f>
        <v>31</v>
      </c>
      <c r="Q11" s="4">
        <f>'Calc.Mth'!Q11</f>
        <v>30</v>
      </c>
      <c r="R11" s="4">
        <f>'Calc.Mth'!R11</f>
        <v>31</v>
      </c>
      <c r="S11" s="4">
        <f>'Calc.Mth'!S11</f>
        <v>31</v>
      </c>
      <c r="T11" s="4">
        <f>'Calc.Mth'!T11</f>
        <v>30</v>
      </c>
      <c r="U11" s="4">
        <f>'Calc.Mth'!U11</f>
        <v>31</v>
      </c>
      <c r="V11" s="4">
        <f>'Calc.Mth'!V11</f>
        <v>30</v>
      </c>
      <c r="W11" s="4">
        <f>'Calc.Mth'!W11</f>
        <v>31</v>
      </c>
      <c r="X11" s="4">
        <f>'Calc.Mth'!X11</f>
        <v>31</v>
      </c>
      <c r="Y11" s="4">
        <f>'Calc.Mth'!Y11</f>
        <v>28</v>
      </c>
      <c r="Z11" s="4">
        <f>'Calc.Mth'!Z11</f>
        <v>31</v>
      </c>
      <c r="AA11" s="4">
        <f>'Calc.Mth'!AA11</f>
        <v>30</v>
      </c>
      <c r="AB11" s="4">
        <f>'Calc.Mth'!AB11</f>
        <v>31</v>
      </c>
      <c r="AC11" s="4">
        <f>'Calc.Mth'!AC11</f>
        <v>30</v>
      </c>
      <c r="AD11" s="4">
        <f>'Calc.Mth'!AD11</f>
        <v>31</v>
      </c>
      <c r="AE11" s="4">
        <f>'Calc.Mth'!AE11</f>
        <v>31</v>
      </c>
      <c r="AF11" s="4">
        <f>'Calc.Mth'!AF11</f>
        <v>30</v>
      </c>
      <c r="AG11" s="4">
        <f>'Calc.Mth'!AG11</f>
        <v>31</v>
      </c>
      <c r="AH11" s="4">
        <f>'Calc.Mth'!AH11</f>
        <v>30</v>
      </c>
      <c r="AI11" s="4">
        <f>'Calc.Mth'!AI11</f>
        <v>31</v>
      </c>
    </row>
    <row r="12" spans="1:35" ht="3" customHeight="1" thickBot="1" x14ac:dyDescent="0.6">
      <c r="B12" s="2"/>
      <c r="C12" s="2"/>
      <c r="D12" s="2"/>
      <c r="E12" s="2"/>
      <c r="F12" s="3"/>
      <c r="G12" s="2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3" customHeight="1" x14ac:dyDescent="0.55000000000000004">
      <c r="F13" s="5"/>
    </row>
    <row r="14" spans="1:35" ht="3" customHeight="1" x14ac:dyDescent="0.55000000000000004">
      <c r="F14" s="5"/>
    </row>
    <row r="15" spans="1:35" x14ac:dyDescent="0.55000000000000004">
      <c r="A15" s="82" t="s">
        <v>10</v>
      </c>
      <c r="B15" s="83" t="s">
        <v>11</v>
      </c>
      <c r="C15" s="83"/>
      <c r="D15" s="83"/>
      <c r="E15" s="83"/>
      <c r="F15" s="84"/>
      <c r="G15" s="83"/>
      <c r="H15" s="85"/>
      <c r="I15" s="85"/>
      <c r="J15" s="85"/>
      <c r="K15" s="85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120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</row>
    <row r="16" spans="1:35" ht="3" customHeight="1" x14ac:dyDescent="0.55000000000000004"/>
    <row r="17" spans="1:35" x14ac:dyDescent="0.55000000000000004">
      <c r="B17" s="72" t="s">
        <v>89</v>
      </c>
    </row>
    <row r="18" spans="1:35" x14ac:dyDescent="0.55000000000000004">
      <c r="B18" s="4" t="s">
        <v>90</v>
      </c>
      <c r="F18" s="86" t="s">
        <v>29</v>
      </c>
      <c r="L18" s="87">
        <f ca="1">'Calc.Mth'!L38</f>
        <v>2457.5</v>
      </c>
      <c r="M18" s="87">
        <f ca="1">'Calc.Mth'!M38</f>
        <v>3317.625</v>
      </c>
      <c r="N18" s="87">
        <f ca="1">'Calc.Mth'!N38</f>
        <v>3471.21875</v>
      </c>
      <c r="O18" s="87">
        <f ca="1">'Calc.Mth'!O38</f>
        <v>2950.5359374999998</v>
      </c>
      <c r="P18" s="87">
        <f ca="1">'Calc.Mth'!P38</f>
        <v>2507.9555468749995</v>
      </c>
      <c r="Q18" s="87">
        <f ca="1">'Calc.Mth'!Q38</f>
        <v>2131.7622148437495</v>
      </c>
      <c r="R18" s="87">
        <f ca="1">'Calc.Mth'!R38</f>
        <v>1811.9978826171869</v>
      </c>
      <c r="S18" s="87">
        <f ca="1">'Calc.Mth'!S38</f>
        <v>1540.1982002246091</v>
      </c>
      <c r="T18" s="87">
        <f ca="1">'Calc.Mth'!T38</f>
        <v>1309.1684701909176</v>
      </c>
      <c r="U18" s="87">
        <f ca="1">'Calc.Mth'!U38</f>
        <v>1112.7931996622801</v>
      </c>
      <c r="V18" s="87">
        <f ca="1">'Calc.Mth'!V38</f>
        <v>945.87421971293816</v>
      </c>
      <c r="W18" s="87">
        <f ca="1">'Calc.Mth'!W38</f>
        <v>803.99308675599752</v>
      </c>
      <c r="X18" s="87">
        <f ca="1">'Calc.Mth'!X38</f>
        <v>683.39412374259791</v>
      </c>
      <c r="Y18" s="87">
        <f ca="1">'Calc.Mth'!Y38</f>
        <v>580.88500518120827</v>
      </c>
      <c r="Z18" s="87">
        <f ca="1">'Calc.Mth'!Z38</f>
        <v>493.75225440402698</v>
      </c>
      <c r="AA18" s="87">
        <f ca="1">'Calc.Mth'!AA38</f>
        <v>419.6894162434229</v>
      </c>
      <c r="AB18" s="87">
        <f ca="1">'Calc.Mth'!AB38</f>
        <v>356.73600380690948</v>
      </c>
      <c r="AC18" s="87">
        <f ca="1">'Calc.Mth'!AC38</f>
        <v>303.22560323587311</v>
      </c>
      <c r="AD18" s="87">
        <f ca="1">'Calc.Mth'!AD38</f>
        <v>257.74176275049217</v>
      </c>
      <c r="AE18" s="87">
        <f ca="1">'Calc.Mth'!AE38</f>
        <v>219.08049833791836</v>
      </c>
      <c r="AF18" s="87">
        <f ca="1">'Calc.Mth'!AF38</f>
        <v>186.2184235872306</v>
      </c>
      <c r="AG18" s="87">
        <f ca="1">'Calc.Mth'!AG38</f>
        <v>158.285660049146</v>
      </c>
      <c r="AH18" s="87">
        <f ca="1">'Calc.Mth'!AH38</f>
        <v>134.54281104177409</v>
      </c>
      <c r="AI18" s="87">
        <f ca="1">'Calc.Mth'!AI38</f>
        <v>114.36138938550796</v>
      </c>
    </row>
    <row r="19" spans="1:35" x14ac:dyDescent="0.55000000000000004">
      <c r="B19" s="4" t="s">
        <v>91</v>
      </c>
      <c r="F19" s="86" t="s">
        <v>29</v>
      </c>
      <c r="L19" s="87">
        <f ca="1">'Calc.Mth'!L48</f>
        <v>2457.5</v>
      </c>
      <c r="M19" s="87">
        <f ca="1">'Calc.Mth'!M48</f>
        <v>3932</v>
      </c>
      <c r="N19" s="87">
        <f ca="1">'Calc.Mth'!N48</f>
        <v>4915</v>
      </c>
      <c r="O19" s="87">
        <f ca="1">'Calc.Mth'!O48</f>
        <v>5259.05</v>
      </c>
      <c r="P19" s="87">
        <f ca="1">'Calc.Mth'!P48</f>
        <v>5627.1835000000001</v>
      </c>
      <c r="Q19" s="87">
        <f ca="1">'Calc.Mth'!Q48</f>
        <v>6021.0863449999997</v>
      </c>
      <c r="R19" s="87">
        <f ca="1">'Calc.Mth'!R48</f>
        <v>6442.5623891499999</v>
      </c>
      <c r="S19" s="87">
        <f ca="1">'Calc.Mth'!S48</f>
        <v>6893.5417563905003</v>
      </c>
      <c r="T19" s="87">
        <f ca="1">'Calc.Mth'!T48</f>
        <v>7376.0896793378352</v>
      </c>
      <c r="U19" s="87">
        <f ca="1">'Calc.Mth'!U48</f>
        <v>7892.4159568914838</v>
      </c>
      <c r="V19" s="87">
        <f ca="1">'Calc.Mth'!V48</f>
        <v>8444.8850738738874</v>
      </c>
      <c r="W19" s="87">
        <f ca="1">'Calc.Mth'!W48</f>
        <v>9036.027029045059</v>
      </c>
      <c r="X19" s="87">
        <f ca="1">'Calc.Mth'!X48</f>
        <v>8808.4239210782125</v>
      </c>
      <c r="Y19" s="87">
        <f ca="1">'Calc.Mth'!Y48</f>
        <v>8908.9385955536873</v>
      </c>
      <c r="Z19" s="87">
        <f ca="1">'Calc.Mth'!Z48</f>
        <v>9188.5142972424455</v>
      </c>
      <c r="AA19" s="87">
        <f ca="1">'Calc.Mth'!AA48</f>
        <v>9711.2927980494169</v>
      </c>
      <c r="AB19" s="87">
        <f ca="1">'Calc.Mth'!AB48</f>
        <v>10262.236568912876</v>
      </c>
      <c r="AC19" s="87">
        <f ca="1">'Calc.Mth'!AC48</f>
        <v>10842.727132986778</v>
      </c>
      <c r="AD19" s="87">
        <f ca="1">'Calc.Mth'!AD48</f>
        <v>11454.201416843352</v>
      </c>
      <c r="AE19" s="87">
        <f ca="1">'Calc.Mth'!AE48</f>
        <v>12098.152737488212</v>
      </c>
      <c r="AF19" s="87">
        <f ca="1">'Calc.Mth'!AF48</f>
        <v>12776.131656080819</v>
      </c>
      <c r="AG19" s="87">
        <f ca="1">'Calc.Mth'!AG48</f>
        <v>13489.746674862699</v>
      </c>
      <c r="AH19" s="87">
        <f ca="1">'Calc.Mth'!AH48</f>
        <v>14240.664751159247</v>
      </c>
      <c r="AI19" s="87">
        <f ca="1">'Calc.Mth'!AI48</f>
        <v>15030.611599430484</v>
      </c>
    </row>
    <row r="20" spans="1:35" s="72" customFormat="1" x14ac:dyDescent="0.55000000000000004">
      <c r="A20" s="71"/>
      <c r="B20" s="88" t="s">
        <v>9</v>
      </c>
      <c r="C20" s="88"/>
      <c r="D20" s="88"/>
      <c r="E20" s="88"/>
      <c r="F20" s="89" t="s">
        <v>29</v>
      </c>
      <c r="G20" s="88"/>
      <c r="H20" s="90"/>
      <c r="I20" s="90"/>
      <c r="J20" s="90"/>
      <c r="K20" s="90"/>
      <c r="L20" s="91">
        <f ca="1">SUM(L18:L19)</f>
        <v>4915</v>
      </c>
      <c r="M20" s="91">
        <f t="shared" ref="M20:AI20" ca="1" si="0">SUM(M18:M19)</f>
        <v>7249.625</v>
      </c>
      <c r="N20" s="91">
        <f t="shared" ca="1" si="0"/>
        <v>8386.21875</v>
      </c>
      <c r="O20" s="91">
        <f t="shared" ca="1" si="0"/>
        <v>8209.5859375</v>
      </c>
      <c r="P20" s="91">
        <f t="shared" ca="1" si="0"/>
        <v>8135.1390468749996</v>
      </c>
      <c r="Q20" s="91">
        <f t="shared" ca="1" si="0"/>
        <v>8152.8485598437492</v>
      </c>
      <c r="R20" s="91">
        <f t="shared" ca="1" si="0"/>
        <v>8254.5602717671864</v>
      </c>
      <c r="S20" s="91">
        <f t="shared" ca="1" si="0"/>
        <v>8433.7399566151089</v>
      </c>
      <c r="T20" s="91">
        <f t="shared" ca="1" si="0"/>
        <v>8685.2581495287523</v>
      </c>
      <c r="U20" s="91">
        <f t="shared" ca="1" si="0"/>
        <v>9005.209156553763</v>
      </c>
      <c r="V20" s="91">
        <f t="shared" ca="1" si="0"/>
        <v>9390.7592935868252</v>
      </c>
      <c r="W20" s="91">
        <f t="shared" ca="1" si="0"/>
        <v>9840.0201158010568</v>
      </c>
      <c r="X20" s="91">
        <f t="shared" ca="1" si="0"/>
        <v>9491.8180448208113</v>
      </c>
      <c r="Y20" s="91">
        <f t="shared" ca="1" si="0"/>
        <v>9489.8236007348951</v>
      </c>
      <c r="Z20" s="91">
        <f t="shared" ca="1" si="0"/>
        <v>9682.2665516464731</v>
      </c>
      <c r="AA20" s="91">
        <f t="shared" ca="1" si="0"/>
        <v>10130.982214292841</v>
      </c>
      <c r="AB20" s="91">
        <f t="shared" ca="1" si="0"/>
        <v>10618.972572719786</v>
      </c>
      <c r="AC20" s="91">
        <f t="shared" ca="1" si="0"/>
        <v>11145.952736222651</v>
      </c>
      <c r="AD20" s="91">
        <f t="shared" ca="1" si="0"/>
        <v>11711.943179593845</v>
      </c>
      <c r="AE20" s="91">
        <f t="shared" ca="1" si="0"/>
        <v>12317.23323582613</v>
      </c>
      <c r="AF20" s="91">
        <f t="shared" ca="1" si="0"/>
        <v>12962.350079668049</v>
      </c>
      <c r="AG20" s="91">
        <f t="shared" ca="1" si="0"/>
        <v>13648.032334911846</v>
      </c>
      <c r="AH20" s="91">
        <f t="shared" ca="1" si="0"/>
        <v>14375.207562201022</v>
      </c>
      <c r="AI20" s="91">
        <f t="shared" ca="1" si="0"/>
        <v>15144.972988815991</v>
      </c>
    </row>
    <row r="21" spans="1:35" x14ac:dyDescent="0.55000000000000004"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</row>
    <row r="22" spans="1:35" x14ac:dyDescent="0.55000000000000004">
      <c r="B22" s="72" t="s">
        <v>92</v>
      </c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</row>
    <row r="23" spans="1:35" x14ac:dyDescent="0.55000000000000004">
      <c r="B23" s="4" t="s">
        <v>13</v>
      </c>
      <c r="F23" s="86" t="s">
        <v>41</v>
      </c>
      <c r="L23" s="87">
        <f ca="1">'Calc.Mth'!L61</f>
        <v>30</v>
      </c>
      <c r="M23" s="87">
        <f ca="1">'Calc.Mth'!M61</f>
        <v>30</v>
      </c>
      <c r="N23" s="87">
        <f ca="1">'Calc.Mth'!N61</f>
        <v>30</v>
      </c>
      <c r="O23" s="87">
        <f ca="1">'Calc.Mth'!O61</f>
        <v>30</v>
      </c>
      <c r="P23" s="87">
        <f ca="1">'Calc.Mth'!P61</f>
        <v>30</v>
      </c>
      <c r="Q23" s="87">
        <f ca="1">'Calc.Mth'!Q61</f>
        <v>30</v>
      </c>
      <c r="R23" s="87">
        <f ca="1">'Calc.Mth'!R61</f>
        <v>30</v>
      </c>
      <c r="S23" s="87">
        <f ca="1">'Calc.Mth'!S61</f>
        <v>30</v>
      </c>
      <c r="T23" s="87">
        <f ca="1">'Calc.Mth'!T61</f>
        <v>30</v>
      </c>
      <c r="U23" s="87">
        <f ca="1">'Calc.Mth'!U61</f>
        <v>30</v>
      </c>
      <c r="V23" s="87">
        <f ca="1">'Calc.Mth'!V61</f>
        <v>30</v>
      </c>
      <c r="W23" s="87">
        <f ca="1">'Calc.Mth'!W61</f>
        <v>30</v>
      </c>
      <c r="X23" s="87">
        <f ca="1">'Calc.Mth'!X61</f>
        <v>30</v>
      </c>
      <c r="Y23" s="87">
        <f ca="1">'Calc.Mth'!Y61</f>
        <v>30</v>
      </c>
      <c r="Z23" s="87">
        <f ca="1">'Calc.Mth'!Z61</f>
        <v>30</v>
      </c>
      <c r="AA23" s="87">
        <f ca="1">'Calc.Mth'!AA61</f>
        <v>30</v>
      </c>
      <c r="AB23" s="87">
        <f ca="1">'Calc.Mth'!AB61</f>
        <v>30</v>
      </c>
      <c r="AC23" s="87">
        <f ca="1">'Calc.Mth'!AC61</f>
        <v>30</v>
      </c>
      <c r="AD23" s="87">
        <f ca="1">'Calc.Mth'!AD61</f>
        <v>30</v>
      </c>
      <c r="AE23" s="87">
        <f ca="1">'Calc.Mth'!AE61</f>
        <v>30</v>
      </c>
      <c r="AF23" s="87">
        <f ca="1">'Calc.Mth'!AF61</f>
        <v>30</v>
      </c>
      <c r="AG23" s="87">
        <f ca="1">'Calc.Mth'!AG61</f>
        <v>30</v>
      </c>
      <c r="AH23" s="87">
        <f ca="1">'Calc.Mth'!AH61</f>
        <v>30</v>
      </c>
      <c r="AI23" s="87">
        <f ca="1">'Calc.Mth'!AI61</f>
        <v>30</v>
      </c>
    </row>
    <row r="24" spans="1:35" x14ac:dyDescent="0.55000000000000004">
      <c r="B24" s="4" t="s">
        <v>93</v>
      </c>
      <c r="F24" s="86" t="s">
        <v>41</v>
      </c>
      <c r="L24" s="87">
        <f ca="1">'Calc.Mth'!L67</f>
        <v>330</v>
      </c>
      <c r="M24" s="87">
        <f ca="1">'Calc.Mth'!M67</f>
        <v>330</v>
      </c>
      <c r="N24" s="87">
        <f ca="1">'Calc.Mth'!N67</f>
        <v>330</v>
      </c>
      <c r="O24" s="87">
        <f ca="1">'Calc.Mth'!O67</f>
        <v>330</v>
      </c>
      <c r="P24" s="87">
        <f ca="1">'Calc.Mth'!P67</f>
        <v>330</v>
      </c>
      <c r="Q24" s="87">
        <f ca="1">'Calc.Mth'!Q67</f>
        <v>330</v>
      </c>
      <c r="R24" s="87">
        <f ca="1">'Calc.Mth'!R67</f>
        <v>330</v>
      </c>
      <c r="S24" s="87">
        <f ca="1">'Calc.Mth'!S67</f>
        <v>330</v>
      </c>
      <c r="T24" s="87">
        <f ca="1">'Calc.Mth'!T67</f>
        <v>330</v>
      </c>
      <c r="U24" s="87">
        <f ca="1">'Calc.Mth'!U67</f>
        <v>330</v>
      </c>
      <c r="V24" s="87">
        <f ca="1">'Calc.Mth'!V67</f>
        <v>330</v>
      </c>
      <c r="W24" s="87">
        <f ca="1">'Calc.Mth'!W67</f>
        <v>330</v>
      </c>
      <c r="X24" s="87">
        <f ca="1">'Calc.Mth'!X67</f>
        <v>330</v>
      </c>
      <c r="Y24" s="87">
        <f ca="1">'Calc.Mth'!Y67</f>
        <v>330</v>
      </c>
      <c r="Z24" s="87">
        <f ca="1">'Calc.Mth'!Z67</f>
        <v>330</v>
      </c>
      <c r="AA24" s="87">
        <f ca="1">'Calc.Mth'!AA67</f>
        <v>330</v>
      </c>
      <c r="AB24" s="87">
        <f ca="1">'Calc.Mth'!AB67</f>
        <v>330</v>
      </c>
      <c r="AC24" s="87">
        <f ca="1">'Calc.Mth'!AC67</f>
        <v>330</v>
      </c>
      <c r="AD24" s="87">
        <f ca="1">'Calc.Mth'!AD67</f>
        <v>330</v>
      </c>
      <c r="AE24" s="87">
        <f ca="1">'Calc.Mth'!AE67</f>
        <v>330</v>
      </c>
      <c r="AF24" s="87">
        <f ca="1">'Calc.Mth'!AF67</f>
        <v>330</v>
      </c>
      <c r="AG24" s="87">
        <f ca="1">'Calc.Mth'!AG67</f>
        <v>330</v>
      </c>
      <c r="AH24" s="87">
        <f ca="1">'Calc.Mth'!AH67</f>
        <v>330</v>
      </c>
      <c r="AI24" s="87">
        <f ca="1">'Calc.Mth'!AI67</f>
        <v>330</v>
      </c>
    </row>
    <row r="25" spans="1:35" s="72" customFormat="1" x14ac:dyDescent="0.55000000000000004">
      <c r="A25" s="71"/>
      <c r="B25" s="88" t="s">
        <v>9</v>
      </c>
      <c r="C25" s="88"/>
      <c r="D25" s="88"/>
      <c r="E25" s="88"/>
      <c r="F25" s="89" t="s">
        <v>41</v>
      </c>
      <c r="G25" s="88"/>
      <c r="H25" s="90"/>
      <c r="I25" s="90"/>
      <c r="J25" s="90"/>
      <c r="K25" s="90"/>
      <c r="L25" s="91">
        <f ca="1">L29/L20*10^3</f>
        <v>14.374999999999996</v>
      </c>
      <c r="M25" s="91">
        <f t="shared" ref="M25:AI25" ca="1" si="1">M29/M20*10^3</f>
        <v>24.067796610169495</v>
      </c>
      <c r="N25" s="91">
        <f t="shared" ca="1" si="1"/>
        <v>26.64835164835165</v>
      </c>
      <c r="O25" s="91">
        <f t="shared" ca="1" si="1"/>
        <v>28.773620205799816</v>
      </c>
      <c r="P25" s="91">
        <f t="shared" ca="1" si="1"/>
        <v>28.46455131944877</v>
      </c>
      <c r="Q25" s="91">
        <f t="shared" ca="1" si="1"/>
        <v>28.181496946502168</v>
      </c>
      <c r="R25" s="91">
        <f t="shared" ca="1" si="1"/>
        <v>27.927783427174973</v>
      </c>
      <c r="S25" s="91">
        <f t="shared" ca="1" si="1"/>
        <v>27.704716347169221</v>
      </c>
      <c r="T25" s="91">
        <f t="shared" ca="1" si="1"/>
        <v>27.511897537606576</v>
      </c>
      <c r="U25" s="91">
        <f t="shared" ca="1" si="1"/>
        <v>27.347657701733784</v>
      </c>
      <c r="V25" s="91">
        <f t="shared" ca="1" si="1"/>
        <v>27.209503776563782</v>
      </c>
      <c r="W25" s="91">
        <f t="shared" ca="1" si="1"/>
        <v>27.094512803286612</v>
      </c>
      <c r="X25" s="91">
        <f t="shared" ca="1" si="1"/>
        <v>25.886305585655844</v>
      </c>
      <c r="Y25" s="91">
        <f t="shared" ca="1" si="1"/>
        <v>21.651800279157342</v>
      </c>
      <c r="Z25" s="91">
        <f t="shared" ca="1" si="1"/>
        <v>19.198962627001301</v>
      </c>
      <c r="AA25" s="91">
        <f t="shared" ca="1" si="1"/>
        <v>18.028202683773408</v>
      </c>
      <c r="AB25" s="91">
        <f t="shared" ca="1" si="1"/>
        <v>17.797079415737894</v>
      </c>
      <c r="AC25" s="91">
        <f t="shared" ca="1" si="1"/>
        <v>17.583625904867599</v>
      </c>
      <c r="AD25" s="91">
        <f t="shared" ca="1" si="1"/>
        <v>17.384255914359279</v>
      </c>
      <c r="AE25" s="91">
        <f t="shared" ca="1" si="1"/>
        <v>17.195888774887759</v>
      </c>
      <c r="AF25" s="91">
        <f t="shared" ca="1" si="1"/>
        <v>17.015900814898981</v>
      </c>
      <c r="AG25" s="91">
        <f t="shared" ca="1" si="1"/>
        <v>16.842070236984402</v>
      </c>
      <c r="AH25" s="91">
        <f t="shared" ca="1" si="1"/>
        <v>16.672521434883791</v>
      </c>
      <c r="AI25" s="91">
        <f t="shared" ca="1" si="1"/>
        <v>16.505672284247691</v>
      </c>
    </row>
    <row r="26" spans="1:35" x14ac:dyDescent="0.55000000000000004"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</row>
    <row r="27" spans="1:35" x14ac:dyDescent="0.55000000000000004">
      <c r="B27" s="72" t="s">
        <v>94</v>
      </c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</row>
    <row r="28" spans="1:35" x14ac:dyDescent="0.55000000000000004">
      <c r="B28" s="4" t="s">
        <v>36</v>
      </c>
      <c r="F28" s="86" t="s">
        <v>41</v>
      </c>
      <c r="L28" s="87">
        <f ca="1">'Calc.Mth'!L56</f>
        <v>442.35</v>
      </c>
      <c r="M28" s="87">
        <f ca="1">'Calc.Mth'!M56</f>
        <v>735.40687500000001</v>
      </c>
      <c r="N28" s="87">
        <f ca="1">'Calc.Mth'!N56</f>
        <v>507.32015625000003</v>
      </c>
      <c r="O28" s="87">
        <f ca="1">'Calc.Mth'!O56</f>
        <v>315.28957031250002</v>
      </c>
      <c r="P28" s="87">
        <f ca="1">'Calc.Mth'!P56</f>
        <v>199.38764976562499</v>
      </c>
      <c r="Q28" s="87">
        <f ca="1">'Calc.Mth'!Q56</f>
        <v>195.33176335078124</v>
      </c>
      <c r="R28" s="87">
        <f ca="1">'Calc.Mth'!R56</f>
        <v>193.69391817166408</v>
      </c>
      <c r="S28" s="87">
        <f ca="1">'Calc.Mth'!S56</f>
        <v>194.23808412205946</v>
      </c>
      <c r="T28" s="87">
        <f ca="1">'Calc.Mth'!T56</f>
        <v>196.77250293722568</v>
      </c>
      <c r="U28" s="87">
        <f ca="1">'Calc.Mth'!U56</f>
        <v>201.14366813046027</v>
      </c>
      <c r="V28" s="87">
        <f ca="1">'Calc.Mth'!V56</f>
        <v>207.23125138907687</v>
      </c>
      <c r="W28" s="87">
        <f ca="1">'Calc.Mth'!W56</f>
        <v>214.9438365023741</v>
      </c>
      <c r="X28" s="87">
        <f ca="1">'Calc.Mth'!X56</f>
        <v>224.21534294619278</v>
      </c>
      <c r="Y28" s="87">
        <f ca="1">'Calc.Mth'!Y56</f>
        <v>225.06759540778089</v>
      </c>
      <c r="Z28" s="87">
        <f ca="1">'Calc.Mth'!Z56</f>
        <v>220.75509596087699</v>
      </c>
      <c r="AA28" s="87">
        <f ca="1">'Calc.Mth'!AA56</f>
        <v>222.72720597150709</v>
      </c>
      <c r="AB28" s="87">
        <f ca="1">'Calc.Mth'!AB56</f>
        <v>229.93915325137601</v>
      </c>
      <c r="AC28" s="87">
        <f ca="1">'Calc.Mth'!AC56</f>
        <v>240.59368829405625</v>
      </c>
      <c r="AD28" s="87">
        <f ca="1">'Calc.Mth'!AD56</f>
        <v>252.1768412467365</v>
      </c>
      <c r="AE28" s="87">
        <f ca="1">'Calc.Mth'!AE56</f>
        <v>264.68185866686417</v>
      </c>
      <c r="AF28" s="87">
        <f ca="1">'Calc.Mth'!AF56</f>
        <v>278.10917431140683</v>
      </c>
      <c r="AG28" s="87">
        <f ca="1">'Calc.Mth'!AG56</f>
        <v>292.46554600026803</v>
      </c>
      <c r="AH28" s="87">
        <f ca="1">'Calc.Mth'!AH56</f>
        <v>307.76332178876146</v>
      </c>
      <c r="AI28" s="87">
        <f ca="1">'Calc.Mth'!AI56</f>
        <v>324.01981497696272</v>
      </c>
    </row>
    <row r="29" spans="1:35" x14ac:dyDescent="0.55000000000000004">
      <c r="B29" s="4" t="s">
        <v>24</v>
      </c>
      <c r="F29" s="86" t="s">
        <v>41</v>
      </c>
      <c r="L29" s="87">
        <f ca="1">'Calc.Mth'!L55</f>
        <v>70.653124999999989</v>
      </c>
      <c r="M29" s="87">
        <f ca="1">'Calc.Mth'!M55</f>
        <v>174.48250000000002</v>
      </c>
      <c r="N29" s="87">
        <f ca="1">'Calc.Mth'!N55</f>
        <v>223.47890625000002</v>
      </c>
      <c r="O29" s="87">
        <f ca="1">'Calc.Mth'!O55</f>
        <v>236.21950781250001</v>
      </c>
      <c r="P29" s="87">
        <f ca="1">'Calc.Mth'!P55</f>
        <v>231.563082890625</v>
      </c>
      <c r="Q29" s="87">
        <f ca="1">'Calc.Mth'!Q55</f>
        <v>229.75947679453122</v>
      </c>
      <c r="R29" s="87">
        <f ca="1">'Calc.Mth'!R55</f>
        <v>230.53157155647656</v>
      </c>
      <c r="S29" s="87">
        <f ca="1">'Calc.Mth'!S55</f>
        <v>233.65437324380883</v>
      </c>
      <c r="T29" s="87">
        <f ca="1">'Calc.Mth'!T55</f>
        <v>238.94793229749752</v>
      </c>
      <c r="U29" s="87">
        <f ca="1">'Calc.Mth'!U55</f>
        <v>246.27137754595111</v>
      </c>
      <c r="V29" s="87">
        <f ca="1">'Calc.Mth'!V55</f>
        <v>255.51790046365215</v>
      </c>
      <c r="W29" s="87">
        <f ca="1">'Calc.Mth'!W55</f>
        <v>266.61055101216954</v>
      </c>
      <c r="X29" s="87">
        <f ca="1">'Calc.Mth'!X55</f>
        <v>245.70810247167393</v>
      </c>
      <c r="Y29" s="87">
        <f ca="1">'Calc.Mth'!Y55</f>
        <v>205.47176528754574</v>
      </c>
      <c r="Z29" s="87">
        <f ca="1">'Calc.Mth'!Z55</f>
        <v>185.88947366972539</v>
      </c>
      <c r="AA29" s="87">
        <f ca="1">'Calc.Mth'!AA55</f>
        <v>182.64340074497488</v>
      </c>
      <c r="AB29" s="87">
        <f ca="1">'Calc.Mth'!AB55</f>
        <v>188.98669819023655</v>
      </c>
      <c r="AC29" s="87">
        <f ca="1">'Calc.Mth'!AC55</f>
        <v>195.98626326707452</v>
      </c>
      <c r="AD29" s="87">
        <f ca="1">'Calc.Mth'!AD55</f>
        <v>203.60341748849416</v>
      </c>
      <c r="AE29" s="87">
        <f ca="1">'Calc.Mth'!AE55</f>
        <v>211.80577273761699</v>
      </c>
      <c r="AF29" s="87">
        <f ca="1">'Calc.Mth'!AF55</f>
        <v>220.56606328362946</v>
      </c>
      <c r="AG29" s="87">
        <f ca="1">'Calc.Mth'!AG55</f>
        <v>229.86111918121955</v>
      </c>
      <c r="AH29" s="87">
        <f ca="1">'Calc.Mth'!AH55</f>
        <v>239.67095621170012</v>
      </c>
      <c r="AI29" s="87">
        <f ca="1">'Calc.Mth'!AI55</f>
        <v>249.97796090718001</v>
      </c>
    </row>
    <row r="30" spans="1:35" x14ac:dyDescent="0.55000000000000004">
      <c r="B30" s="4" t="s">
        <v>25</v>
      </c>
      <c r="F30" s="86" t="s">
        <v>41</v>
      </c>
      <c r="L30" s="87">
        <f ca="1">'Calc.Mth'!L57</f>
        <v>847.83749999999986</v>
      </c>
      <c r="M30" s="87">
        <f ca="1">'Calc.Mth'!M57</f>
        <v>2093.79</v>
      </c>
      <c r="N30" s="87">
        <f ca="1">'Calc.Mth'!N57</f>
        <v>2681.7468749999998</v>
      </c>
      <c r="O30" s="87">
        <f ca="1">'Calc.Mth'!O57</f>
        <v>2834.6340937499999</v>
      </c>
      <c r="P30" s="87">
        <f ca="1">'Calc.Mth'!P57</f>
        <v>2778.7569946875001</v>
      </c>
      <c r="Q30" s="87">
        <f ca="1">'Calc.Mth'!Q57</f>
        <v>2757.1137215343751</v>
      </c>
      <c r="R30" s="87">
        <f ca="1">'Calc.Mth'!R57</f>
        <v>2766.3788586777191</v>
      </c>
      <c r="S30" s="87">
        <f ca="1">'Calc.Mth'!S57</f>
        <v>2803.8524789257058</v>
      </c>
      <c r="T30" s="87">
        <f ca="1">'Calc.Mth'!T57</f>
        <v>2867.37518756997</v>
      </c>
      <c r="U30" s="87">
        <f ca="1">'Calc.Mth'!U57</f>
        <v>2955.2565305514136</v>
      </c>
      <c r="V30" s="87">
        <f ca="1">'Calc.Mth'!V57</f>
        <v>3066.2148055638258</v>
      </c>
      <c r="W30" s="87">
        <f ca="1">'Calc.Mth'!W57</f>
        <v>3199.3266121460347</v>
      </c>
      <c r="X30" s="87">
        <f ca="1">'Calc.Mth'!X57</f>
        <v>2948.4972296600868</v>
      </c>
      <c r="Y30" s="87">
        <f ca="1">'Calc.Mth'!Y57</f>
        <v>2465.6611834505493</v>
      </c>
      <c r="Z30" s="87">
        <f ca="1">'Calc.Mth'!Z57</f>
        <v>2230.6736840367048</v>
      </c>
      <c r="AA30" s="87">
        <f ca="1">'Calc.Mth'!AA57</f>
        <v>2191.7208089396986</v>
      </c>
      <c r="AB30" s="87">
        <f ca="1">'Calc.Mth'!AB57</f>
        <v>2267.8403782828386</v>
      </c>
      <c r="AC30" s="87">
        <f ca="1">'Calc.Mth'!AC57</f>
        <v>2351.8351592048944</v>
      </c>
      <c r="AD30" s="87">
        <f ca="1">'Calc.Mth'!AD57</f>
        <v>2443.2410098619298</v>
      </c>
      <c r="AE30" s="87">
        <f ca="1">'Calc.Mth'!AE57</f>
        <v>2541.6692728514035</v>
      </c>
      <c r="AF30" s="87">
        <f ca="1">'Calc.Mth'!AF57</f>
        <v>2646.7927594035532</v>
      </c>
      <c r="AG30" s="87">
        <f ca="1">'Calc.Mth'!AG57</f>
        <v>2758.3334301746345</v>
      </c>
      <c r="AH30" s="87">
        <f ca="1">'Calc.Mth'!AH57</f>
        <v>2876.0514745404016</v>
      </c>
      <c r="AI30" s="87">
        <f ca="1">'Calc.Mth'!AI57</f>
        <v>2999.7355308861597</v>
      </c>
    </row>
    <row r="32" spans="1:35" x14ac:dyDescent="0.55000000000000004">
      <c r="B32" s="72" t="s">
        <v>119</v>
      </c>
    </row>
    <row r="33" spans="1:35" x14ac:dyDescent="0.55000000000000004">
      <c r="B33" s="4" t="s">
        <v>120</v>
      </c>
      <c r="F33" s="96" t="s">
        <v>122</v>
      </c>
      <c r="L33" s="97"/>
      <c r="M33" s="98">
        <f ca="1">'Calc.Mth'!M129/('Calc.Mth'!M61*M47)</f>
        <v>9.3710816339998662</v>
      </c>
      <c r="N33" s="98">
        <f ca="1">'Calc.Mth'!N129/('Calc.Mth'!N61*N47)</f>
        <v>8.4474170063050824</v>
      </c>
      <c r="O33" s="98">
        <f ca="1">'Calc.Mth'!O129/('Calc.Mth'!O61*O47)</f>
        <v>8.0650616777027349</v>
      </c>
      <c r="P33" s="98">
        <f ca="1">'Calc.Mth'!P129/('Calc.Mth'!P61*P47)</f>
        <v>7.884340301923884</v>
      </c>
      <c r="Q33" s="98">
        <f ca="1">'Calc.Mth'!Q129/('Calc.Mth'!Q61*Q47)</f>
        <v>7.8802793630958456</v>
      </c>
      <c r="R33" s="98">
        <f ca="1">'Calc.Mth'!R129/('Calc.Mth'!R61*R47)</f>
        <v>7.8765730678877288</v>
      </c>
      <c r="S33" s="98">
        <f ca="1">'Calc.Mth'!S129/('Calc.Mth'!S61*S47)</f>
        <v>7.8732613351266529</v>
      </c>
      <c r="T33" s="98">
        <f ca="1">'Calc.Mth'!T129/('Calc.Mth'!T61*T47)</f>
        <v>7.8703576983615626</v>
      </c>
      <c r="U33" s="98">
        <f ca="1">'Calc.Mth'!U129/('Calc.Mth'!U61*U47)</f>
        <v>7.8678538583118485</v>
      </c>
      <c r="V33" s="98">
        <f ca="1">'Calc.Mth'!V129/('Calc.Mth'!V61*V47)</f>
        <v>7.8657255450586714</v>
      </c>
      <c r="W33" s="98">
        <f ca="1">'Calc.Mth'!W129/('Calc.Mth'!W61*W47)</f>
        <v>7.8639384046334468</v>
      </c>
      <c r="X33" s="98">
        <f ca="1">'Calc.Mth'!X129/('Calc.Mth'!X61*X47)</f>
        <v>7.6397913374350885</v>
      </c>
      <c r="Y33" s="98">
        <f ca="1">'Calc.Mth'!Y129/('Calc.Mth'!Y61*Y47)</f>
        <v>7.6881185390769256</v>
      </c>
      <c r="Z33" s="98">
        <f ca="1">'Calc.Mth'!Z129/('Calc.Mth'!Z61*Z47)</f>
        <v>7.7127181944245873</v>
      </c>
      <c r="AA33" s="98">
        <f ca="1">'Calc.Mth'!AA129/('Calc.Mth'!AA61*AA47)</f>
        <v>7.7212678988826102</v>
      </c>
      <c r="AB33" s="98">
        <f ca="1">'Calc.Mth'!AB129/('Calc.Mth'!AB61*AB47)</f>
        <v>7.7205248496368997</v>
      </c>
      <c r="AC33" s="98">
        <f ca="1">'Calc.Mth'!AC129/('Calc.Mth'!AC61*AC47)</f>
        <v>7.7234523265125707</v>
      </c>
      <c r="AD33" s="98">
        <f ca="1">'Calc.Mth'!AD129/('Calc.Mth'!AD61*AD47)</f>
        <v>7.7263965310433713</v>
      </c>
      <c r="AE33" s="98">
        <f ca="1">'Calc.Mth'!AE129/('Calc.Mth'!AE61*AE47)</f>
        <v>7.7293729471137285</v>
      </c>
      <c r="AF33" s="98">
        <f ca="1">'Calc.Mth'!AF129/('Calc.Mth'!AF61*AF47)</f>
        <v>7.7323970463377405</v>
      </c>
      <c r="AG33" s="98">
        <f ca="1">'Calc.Mth'!AG129/('Calc.Mth'!AG61*AG47)</f>
        <v>7.7354841467616984</v>
      </c>
      <c r="AH33" s="98">
        <f ca="1">'Calc.Mth'!AH129/('Calc.Mth'!AH61*AH47)</f>
        <v>7.7386493843714401</v>
      </c>
      <c r="AI33" s="98">
        <f ca="1">'Calc.Mth'!AI129/('Calc.Mth'!AI61*AI47)</f>
        <v>7.7419077653027673</v>
      </c>
    </row>
    <row r="34" spans="1:35" x14ac:dyDescent="0.55000000000000004">
      <c r="B34" s="4" t="s">
        <v>121</v>
      </c>
      <c r="F34" s="96" t="s">
        <v>122</v>
      </c>
      <c r="L34" s="97"/>
      <c r="M34" s="98">
        <f ca="1">'Calc.Mth'!M129/('Calc.Mth'!M67*M47)</f>
        <v>0.85191651218180608</v>
      </c>
      <c r="N34" s="98">
        <f ca="1">'Calc.Mth'!N129/('Calc.Mth'!N67*N47)</f>
        <v>0.76794700057318921</v>
      </c>
      <c r="O34" s="98">
        <f ca="1">'Calc.Mth'!O129/('Calc.Mth'!O67*O47)</f>
        <v>0.73318742524570313</v>
      </c>
      <c r="P34" s="98">
        <f ca="1">'Calc.Mth'!P129/('Calc.Mth'!P67*P47)</f>
        <v>0.71675820926580769</v>
      </c>
      <c r="Q34" s="98">
        <f ca="1">'Calc.Mth'!Q129/('Calc.Mth'!Q67*Q47)</f>
        <v>0.71638903300871337</v>
      </c>
      <c r="R34" s="98">
        <f ca="1">'Calc.Mth'!R129/('Calc.Mth'!R67*R47)</f>
        <v>0.71605209708070272</v>
      </c>
      <c r="S34" s="98">
        <f ca="1">'Calc.Mth'!S129/('Calc.Mth'!S67*S47)</f>
        <v>0.71575103046605937</v>
      </c>
      <c r="T34" s="98">
        <f ca="1">'Calc.Mth'!T129/('Calc.Mth'!T67*T47)</f>
        <v>0.71548706348741475</v>
      </c>
      <c r="U34" s="98">
        <f ca="1">'Calc.Mth'!U129/('Calc.Mth'!U67*U47)</f>
        <v>0.71525944166471356</v>
      </c>
      <c r="V34" s="98">
        <f ca="1">'Calc.Mth'!V129/('Calc.Mth'!V67*V47)</f>
        <v>0.71506595864169742</v>
      </c>
      <c r="W34" s="98">
        <f ca="1">'Calc.Mth'!W129/('Calc.Mth'!W67*W47)</f>
        <v>0.71490349133031339</v>
      </c>
      <c r="X34" s="98">
        <f ca="1">'Calc.Mth'!X129/('Calc.Mth'!X67*X47)</f>
        <v>0.69452648522137161</v>
      </c>
      <c r="Y34" s="98">
        <f ca="1">'Calc.Mth'!Y129/('Calc.Mth'!Y67*Y47)</f>
        <v>0.69891986718881138</v>
      </c>
      <c r="Z34" s="98">
        <f ca="1">'Calc.Mth'!Z129/('Calc.Mth'!Z67*Z47)</f>
        <v>0.70115619949314434</v>
      </c>
      <c r="AA34" s="98">
        <f ca="1">'Calc.Mth'!AA129/('Calc.Mth'!AA67*AA47)</f>
        <v>0.70193344535296454</v>
      </c>
      <c r="AB34" s="98">
        <f ca="1">'Calc.Mth'!AB129/('Calc.Mth'!AB67*AB47)</f>
        <v>0.70186589542153632</v>
      </c>
      <c r="AC34" s="98">
        <f ca="1">'Calc.Mth'!AC129/('Calc.Mth'!AC67*AC47)</f>
        <v>0.70213202968296085</v>
      </c>
      <c r="AD34" s="98">
        <f ca="1">'Calc.Mth'!AD129/('Calc.Mth'!AD67*AD47)</f>
        <v>0.70239968464030655</v>
      </c>
      <c r="AE34" s="98">
        <f ca="1">'Calc.Mth'!AE129/('Calc.Mth'!AE67*AE47)</f>
        <v>0.70267026791942988</v>
      </c>
      <c r="AF34" s="98">
        <f ca="1">'Calc.Mth'!AF129/('Calc.Mth'!AF67*AF47)</f>
        <v>0.70294518603070366</v>
      </c>
      <c r="AG34" s="98">
        <f ca="1">'Calc.Mth'!AG129/('Calc.Mth'!AG67*AG47)</f>
        <v>0.7032258315237907</v>
      </c>
      <c r="AH34" s="98">
        <f ca="1">'Calc.Mth'!AH129/('Calc.Mth'!AH67*AH47)</f>
        <v>0.70351358039740375</v>
      </c>
      <c r="AI34" s="98">
        <f ca="1">'Calc.Mth'!AI129/('Calc.Mth'!AI67*AI47)</f>
        <v>0.7038097968457061</v>
      </c>
    </row>
    <row r="35" spans="1:35" x14ac:dyDescent="0.55000000000000004">
      <c r="B35" s="4" t="s">
        <v>123</v>
      </c>
      <c r="F35" s="96" t="s">
        <v>30</v>
      </c>
      <c r="L35" s="97"/>
      <c r="M35" s="100">
        <f ca="1">1-'Calc.Mth'!M37</f>
        <v>0.75</v>
      </c>
      <c r="N35" s="100">
        <f ca="1">1-'Calc.Mth'!N37</f>
        <v>0.75</v>
      </c>
      <c r="O35" s="100">
        <f ca="1">1-'Calc.Mth'!O37</f>
        <v>0.75</v>
      </c>
      <c r="P35" s="100">
        <f ca="1">1-'Calc.Mth'!P37</f>
        <v>0.75</v>
      </c>
      <c r="Q35" s="100">
        <f ca="1">1-'Calc.Mth'!Q37</f>
        <v>0.75</v>
      </c>
      <c r="R35" s="100">
        <f ca="1">1-'Calc.Mth'!R37</f>
        <v>0.75</v>
      </c>
      <c r="S35" s="100">
        <f ca="1">1-'Calc.Mth'!S37</f>
        <v>0.75</v>
      </c>
      <c r="T35" s="100">
        <f ca="1">1-'Calc.Mth'!T37</f>
        <v>0.75</v>
      </c>
      <c r="U35" s="100">
        <f ca="1">1-'Calc.Mth'!U37</f>
        <v>0.75</v>
      </c>
      <c r="V35" s="100">
        <f ca="1">1-'Calc.Mth'!V37</f>
        <v>0.75</v>
      </c>
      <c r="W35" s="100">
        <f ca="1">1-'Calc.Mth'!W37</f>
        <v>0.75</v>
      </c>
      <c r="X35" s="100">
        <f ca="1">1-'Calc.Mth'!X37</f>
        <v>0.75</v>
      </c>
      <c r="Y35" s="100">
        <f ca="1">1-'Calc.Mth'!Y37</f>
        <v>0.75</v>
      </c>
      <c r="Z35" s="100">
        <f ca="1">1-'Calc.Mth'!Z37</f>
        <v>0.75</v>
      </c>
      <c r="AA35" s="100">
        <f ca="1">1-'Calc.Mth'!AA37</f>
        <v>0.75</v>
      </c>
      <c r="AB35" s="100">
        <f ca="1">1-'Calc.Mth'!AB37</f>
        <v>0.75</v>
      </c>
      <c r="AC35" s="100">
        <f ca="1">1-'Calc.Mth'!AC37</f>
        <v>0.75</v>
      </c>
      <c r="AD35" s="100">
        <f ca="1">1-'Calc.Mth'!AD37</f>
        <v>0.75</v>
      </c>
      <c r="AE35" s="100">
        <f ca="1">1-'Calc.Mth'!AE37</f>
        <v>0.75</v>
      </c>
      <c r="AF35" s="100">
        <f ca="1">1-'Calc.Mth'!AF37</f>
        <v>0.75</v>
      </c>
      <c r="AG35" s="100">
        <f ca="1">1-'Calc.Mth'!AG37</f>
        <v>0.75</v>
      </c>
      <c r="AH35" s="100">
        <f ca="1">1-'Calc.Mth'!AH37</f>
        <v>0.75</v>
      </c>
      <c r="AI35" s="100">
        <f ca="1">1-'Calc.Mth'!AI37</f>
        <v>0.75</v>
      </c>
    </row>
    <row r="36" spans="1:35" x14ac:dyDescent="0.55000000000000004">
      <c r="B36" s="4" t="s">
        <v>124</v>
      </c>
      <c r="F36" s="96" t="s">
        <v>30</v>
      </c>
      <c r="L36" s="97"/>
      <c r="M36" s="100">
        <f ca="1">1+'Calc.Mth'!M46/'Calc.Mth'!M43</f>
        <v>1</v>
      </c>
      <c r="N36" s="100">
        <f ca="1">1+'Calc.Mth'!N46/'Calc.Mth'!N43</f>
        <v>1</v>
      </c>
      <c r="O36" s="100">
        <f ca="1">1+'Calc.Mth'!O46/'Calc.Mth'!O43</f>
        <v>1</v>
      </c>
      <c r="P36" s="100">
        <f ca="1">1+'Calc.Mth'!P46/'Calc.Mth'!P43</f>
        <v>1</v>
      </c>
      <c r="Q36" s="100">
        <f ca="1">1+'Calc.Mth'!Q46/'Calc.Mth'!Q43</f>
        <v>1</v>
      </c>
      <c r="R36" s="100">
        <f ca="1">1+'Calc.Mth'!R46/'Calc.Mth'!R43</f>
        <v>1</v>
      </c>
      <c r="S36" s="100">
        <f ca="1">1+'Calc.Mth'!S46/'Calc.Mth'!S43</f>
        <v>1</v>
      </c>
      <c r="T36" s="100">
        <f ca="1">1+'Calc.Mth'!T46/'Calc.Mth'!T43</f>
        <v>1</v>
      </c>
      <c r="U36" s="100">
        <f ca="1">1+'Calc.Mth'!U46/'Calc.Mth'!U43</f>
        <v>1</v>
      </c>
      <c r="V36" s="100">
        <f ca="1">1+'Calc.Mth'!V46/'Calc.Mth'!V43</f>
        <v>1</v>
      </c>
      <c r="W36" s="100">
        <f ca="1">1+'Calc.Mth'!W46/'Calc.Mth'!W43</f>
        <v>1</v>
      </c>
      <c r="X36" s="100">
        <f ca="1">1+'Calc.Mth'!X46/'Calc.Mth'!X43</f>
        <v>0.90481159504777409</v>
      </c>
      <c r="Y36" s="100">
        <f ca="1">1+'Calc.Mth'!Y46/'Calc.Mth'!Y43</f>
        <v>0.94141119857264677</v>
      </c>
      <c r="Z36" s="100">
        <f ca="1">1+'Calc.Mth'!Z46/'Calc.Mth'!Z43</f>
        <v>0.9613814826188487</v>
      </c>
      <c r="AA36" s="100">
        <f ca="1">1+'Calc.Mth'!AA46/'Calc.Mth'!AA43</f>
        <v>0.98689478014567178</v>
      </c>
      <c r="AB36" s="100">
        <f ca="1">1+'Calc.Mth'!AB46/'Calc.Mth'!AB43</f>
        <v>0.9867322788346079</v>
      </c>
      <c r="AC36" s="100">
        <f ca="1">1+'Calc.Mth'!AC46/'Calc.Mth'!AC43</f>
        <v>0.98656569697802199</v>
      </c>
      <c r="AD36" s="100">
        <f ca="1">1+'Calc.Mth'!AD46/'Calc.Mth'!AD43</f>
        <v>0.98639487892269184</v>
      </c>
      <c r="AE36" s="100">
        <f ca="1">1+'Calc.Mth'!AE46/'Calc.Mth'!AE43</f>
        <v>0.98621966099687508</v>
      </c>
      <c r="AF36" s="100">
        <f ca="1">1+'Calc.Mth'!AF46/'Calc.Mth'!AF43</f>
        <v>0.98603987098722712</v>
      </c>
      <c r="AG36" s="100">
        <f ca="1">1+'Calc.Mth'!AG46/'Calc.Mth'!AG43</f>
        <v>0.98585532757422978</v>
      </c>
      <c r="AH36" s="100">
        <f ca="1">1+'Calc.Mth'!AH46/'Calc.Mth'!AH43</f>
        <v>0.98566583972224153</v>
      </c>
      <c r="AI36" s="100">
        <f ca="1">1+'Calc.Mth'!AI46/'Calc.Mth'!AI43</f>
        <v>0.98547120601985472</v>
      </c>
    </row>
    <row r="38" spans="1:35" x14ac:dyDescent="0.55000000000000004">
      <c r="B38" s="4" t="s">
        <v>136</v>
      </c>
      <c r="F38" s="86" t="s">
        <v>29</v>
      </c>
      <c r="L38" s="121">
        <f ca="1">'Calc.Mth'!L98</f>
        <v>5</v>
      </c>
      <c r="M38" s="121">
        <f ca="1">'Calc.Mth'!M98</f>
        <v>7</v>
      </c>
      <c r="N38" s="121">
        <f ca="1">'Calc.Mth'!N98</f>
        <v>10</v>
      </c>
      <c r="O38" s="121">
        <f ca="1">'Calc.Mth'!O98</f>
        <v>10</v>
      </c>
      <c r="P38" s="121">
        <f ca="1">'Calc.Mth'!P98</f>
        <v>10</v>
      </c>
      <c r="Q38" s="121">
        <f ca="1">'Calc.Mth'!Q98</f>
        <v>11</v>
      </c>
      <c r="R38" s="121">
        <f ca="1">'Calc.Mth'!R98</f>
        <v>11</v>
      </c>
      <c r="S38" s="121">
        <f ca="1">'Calc.Mth'!S98</f>
        <v>11</v>
      </c>
      <c r="T38" s="121">
        <f ca="1">'Calc.Mth'!T98</f>
        <v>12</v>
      </c>
      <c r="U38" s="121">
        <f ca="1">'Calc.Mth'!U98</f>
        <v>12</v>
      </c>
      <c r="V38" s="121">
        <f ca="1">'Calc.Mth'!V98</f>
        <v>13</v>
      </c>
      <c r="W38" s="121">
        <f ca="1">'Calc.Mth'!W98</f>
        <v>14</v>
      </c>
      <c r="X38" s="121">
        <f ca="1">'Calc.Mth'!X98</f>
        <v>13</v>
      </c>
      <c r="Y38" s="121">
        <f ca="1">'Calc.Mth'!Y98</f>
        <v>13</v>
      </c>
      <c r="Z38" s="121">
        <f ca="1">'Calc.Mth'!Z98</f>
        <v>13</v>
      </c>
      <c r="AA38" s="121">
        <f ca="1">'Calc.Mth'!AA98</f>
        <v>14</v>
      </c>
      <c r="AB38" s="121">
        <f ca="1">'Calc.Mth'!AB98</f>
        <v>15</v>
      </c>
      <c r="AC38" s="121">
        <f ca="1">'Calc.Mth'!AC98</f>
        <v>16</v>
      </c>
      <c r="AD38" s="121">
        <f ca="1">'Calc.Mth'!AD98</f>
        <v>16</v>
      </c>
      <c r="AE38" s="121">
        <f ca="1">'Calc.Mth'!AE98</f>
        <v>16</v>
      </c>
      <c r="AF38" s="121">
        <f ca="1">'Calc.Mth'!AF98</f>
        <v>18</v>
      </c>
      <c r="AG38" s="121">
        <f ca="1">'Calc.Mth'!AG98</f>
        <v>18</v>
      </c>
      <c r="AH38" s="121">
        <f ca="1">'Calc.Mth'!AH98</f>
        <v>18</v>
      </c>
      <c r="AI38" s="121">
        <f ca="1">'Calc.Mth'!AI98</f>
        <v>20</v>
      </c>
    </row>
    <row r="40" spans="1:35" x14ac:dyDescent="0.55000000000000004">
      <c r="A40" s="82" t="s">
        <v>10</v>
      </c>
      <c r="B40" s="83" t="s">
        <v>87</v>
      </c>
      <c r="C40" s="83"/>
      <c r="D40" s="83"/>
      <c r="E40" s="83"/>
      <c r="F40" s="84"/>
      <c r="G40" s="83"/>
      <c r="H40" s="85"/>
      <c r="I40" s="85"/>
      <c r="J40" s="85"/>
      <c r="K40" s="85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</row>
    <row r="41" spans="1:35" ht="3" customHeight="1" x14ac:dyDescent="0.55000000000000004"/>
    <row r="42" spans="1:35" x14ac:dyDescent="0.55000000000000004">
      <c r="B42" s="4" t="s">
        <v>90</v>
      </c>
      <c r="F42" s="86" t="s">
        <v>41</v>
      </c>
      <c r="L42" s="93">
        <f ca="1">'Calc.Mth'!L62</f>
        <v>36.862499999999997</v>
      </c>
      <c r="M42" s="93">
        <f ca="1">'Calc.Mth'!M62</f>
        <v>86.626874999999998</v>
      </c>
      <c r="N42" s="93">
        <f ca="1">'Calc.Mth'!N62</f>
        <v>101.83265625</v>
      </c>
      <c r="O42" s="93">
        <f ca="1">'Calc.Mth'!O62</f>
        <v>96.326320312500002</v>
      </c>
      <c r="P42" s="93">
        <f ca="1">'Calc.Mth'!P62</f>
        <v>81.877372265624984</v>
      </c>
      <c r="Q42" s="93">
        <f ca="1">'Calc.Mth'!Q62</f>
        <v>69.595766425781235</v>
      </c>
      <c r="R42" s="93">
        <f ca="1">'Calc.Mth'!R62</f>
        <v>59.156401461914044</v>
      </c>
      <c r="S42" s="93">
        <f ca="1">'Calc.Mth'!S62</f>
        <v>50.28294124262694</v>
      </c>
      <c r="T42" s="93">
        <f ca="1">'Calc.Mth'!T62</f>
        <v>42.740500056232904</v>
      </c>
      <c r="U42" s="93">
        <f ca="1">'Calc.Mth'!U62</f>
        <v>36.329425047797969</v>
      </c>
      <c r="V42" s="93">
        <f ca="1">'Calc.Mth'!V62</f>
        <v>30.880011290628275</v>
      </c>
      <c r="W42" s="93">
        <f ca="1">'Calc.Mth'!W62</f>
        <v>26.248009597034034</v>
      </c>
      <c r="X42" s="93">
        <f ca="1">'Calc.Mth'!X62</f>
        <v>22.310808157478927</v>
      </c>
      <c r="Y42" s="93">
        <f ca="1">'Calc.Mth'!Y62</f>
        <v>18.964186933857093</v>
      </c>
      <c r="Z42" s="93">
        <f ca="1">'Calc.Mth'!Z62</f>
        <v>16.119558893778532</v>
      </c>
      <c r="AA42" s="93">
        <f ca="1">'Calc.Mth'!AA62</f>
        <v>13.701625059711748</v>
      </c>
      <c r="AB42" s="93">
        <f ca="1">'Calc.Mth'!AB62</f>
        <v>11.646381300754985</v>
      </c>
      <c r="AC42" s="93">
        <f ca="1">'Calc.Mth'!AC62</f>
        <v>9.8994241056417387</v>
      </c>
      <c r="AD42" s="93">
        <f ca="1">'Calc.Mth'!AD62</f>
        <v>8.4145104897954788</v>
      </c>
      <c r="AE42" s="93">
        <f ca="1">'Calc.Mth'!AE62</f>
        <v>7.1523339163261577</v>
      </c>
      <c r="AF42" s="93">
        <f ca="1">'Calc.Mth'!AF62</f>
        <v>6.079483828877235</v>
      </c>
      <c r="AG42" s="93">
        <f ca="1">'Calc.Mth'!AG62</f>
        <v>5.1675612545456486</v>
      </c>
      <c r="AH42" s="93">
        <f ca="1">'Calc.Mth'!AH62</f>
        <v>4.3924270663638012</v>
      </c>
      <c r="AI42" s="93">
        <f ca="1">'Calc.Mth'!AI62</f>
        <v>3.7335630064092307</v>
      </c>
    </row>
    <row r="43" spans="1:35" x14ac:dyDescent="0.55000000000000004">
      <c r="B43" s="4" t="s">
        <v>91</v>
      </c>
      <c r="F43" s="86" t="s">
        <v>41</v>
      </c>
      <c r="L43" s="93">
        <f ca="1">'Calc.Mth'!L70</f>
        <v>33.790624999999999</v>
      </c>
      <c r="M43" s="93">
        <f ca="1">'Calc.Mth'!M70</f>
        <v>87.855625000000003</v>
      </c>
      <c r="N43" s="93">
        <f ca="1">'Calc.Mth'!N70</f>
        <v>121.64625000000001</v>
      </c>
      <c r="O43" s="93">
        <f ca="1">'Calc.Mth'!O70</f>
        <v>139.89318750000001</v>
      </c>
      <c r="P43" s="93">
        <f ca="1">'Calc.Mth'!P70</f>
        <v>149.68571062500001</v>
      </c>
      <c r="Q43" s="93">
        <f ca="1">'Calc.Mth'!Q70</f>
        <v>160.16371036875</v>
      </c>
      <c r="R43" s="93">
        <f ca="1">'Calc.Mth'!R70</f>
        <v>171.37517009456252</v>
      </c>
      <c r="S43" s="93">
        <f ca="1">'Calc.Mth'!S70</f>
        <v>183.37143200118189</v>
      </c>
      <c r="T43" s="93">
        <f ca="1">'Calc.Mth'!T70</f>
        <v>196.20743224126463</v>
      </c>
      <c r="U43" s="93">
        <f ca="1">'Calc.Mth'!U70</f>
        <v>209.94195249815314</v>
      </c>
      <c r="V43" s="93">
        <f ca="1">'Calc.Mth'!V70</f>
        <v>224.63788917302386</v>
      </c>
      <c r="W43" s="93">
        <f ca="1">'Calc.Mth'!W70</f>
        <v>240.36254141513552</v>
      </c>
      <c r="X43" s="93">
        <f ca="1">'Calc.Mth'!X70</f>
        <v>223.39729431419499</v>
      </c>
      <c r="Y43" s="93">
        <f ca="1">'Calc.Mth'!Y70</f>
        <v>186.50757835368864</v>
      </c>
      <c r="Z43" s="93">
        <f ca="1">'Calc.Mth'!Z70</f>
        <v>169.76991477594686</v>
      </c>
      <c r="AA43" s="93">
        <f ca="1">'Calc.Mth'!AA70</f>
        <v>168.94177568526314</v>
      </c>
      <c r="AB43" s="93">
        <f ca="1">'Calc.Mth'!AB70</f>
        <v>177.34031688948156</v>
      </c>
      <c r="AC43" s="93">
        <f ca="1">'Calc.Mth'!AC70</f>
        <v>186.08683916143278</v>
      </c>
      <c r="AD43" s="93">
        <f ca="1">'Calc.Mth'!AD70</f>
        <v>195.18890699869868</v>
      </c>
      <c r="AE43" s="93">
        <f ca="1">'Calc.Mth'!AE70</f>
        <v>204.65343882129082</v>
      </c>
      <c r="AF43" s="93">
        <f ca="1">'Calc.Mth'!AF70</f>
        <v>214.48657945475222</v>
      </c>
      <c r="AG43" s="93">
        <f ca="1">'Calc.Mth'!AG70</f>
        <v>224.69355792667389</v>
      </c>
      <c r="AH43" s="93">
        <f ca="1">'Calc.Mth'!AH70</f>
        <v>235.27852914533631</v>
      </c>
      <c r="AI43" s="93">
        <f ca="1">'Calc.Mth'!AI70</f>
        <v>246.24439790077076</v>
      </c>
    </row>
    <row r="44" spans="1:35" x14ac:dyDescent="0.55000000000000004">
      <c r="B44" s="122" t="s">
        <v>132</v>
      </c>
      <c r="C44" s="122"/>
      <c r="D44" s="122"/>
      <c r="E44" s="122"/>
      <c r="F44" s="123" t="s">
        <v>41</v>
      </c>
      <c r="G44" s="122"/>
      <c r="H44" s="124"/>
      <c r="I44" s="124"/>
      <c r="J44" s="124"/>
      <c r="K44" s="124"/>
      <c r="L44" s="125">
        <f ca="1">SUM(L42:L43)</f>
        <v>70.653124999999989</v>
      </c>
      <c r="M44" s="125">
        <f t="shared" ref="M44:AI44" ca="1" si="2">SUM(M42:M43)</f>
        <v>174.48250000000002</v>
      </c>
      <c r="N44" s="125">
        <f t="shared" ca="1" si="2"/>
        <v>223.47890625000002</v>
      </c>
      <c r="O44" s="125">
        <f t="shared" ca="1" si="2"/>
        <v>236.21950781250001</v>
      </c>
      <c r="P44" s="125">
        <f t="shared" ca="1" si="2"/>
        <v>231.563082890625</v>
      </c>
      <c r="Q44" s="125">
        <f t="shared" ca="1" si="2"/>
        <v>229.75947679453122</v>
      </c>
      <c r="R44" s="125">
        <f t="shared" ca="1" si="2"/>
        <v>230.53157155647656</v>
      </c>
      <c r="S44" s="125">
        <f t="shared" ca="1" si="2"/>
        <v>233.65437324380883</v>
      </c>
      <c r="T44" s="125">
        <f t="shared" ca="1" si="2"/>
        <v>238.94793229749752</v>
      </c>
      <c r="U44" s="125">
        <f t="shared" ca="1" si="2"/>
        <v>246.27137754595111</v>
      </c>
      <c r="V44" s="125">
        <f t="shared" ca="1" si="2"/>
        <v>255.51790046365215</v>
      </c>
      <c r="W44" s="125">
        <f t="shared" ca="1" si="2"/>
        <v>266.61055101216954</v>
      </c>
      <c r="X44" s="125">
        <f t="shared" ca="1" si="2"/>
        <v>245.70810247167393</v>
      </c>
      <c r="Y44" s="125">
        <f t="shared" ca="1" si="2"/>
        <v>205.47176528754574</v>
      </c>
      <c r="Z44" s="125">
        <f t="shared" ca="1" si="2"/>
        <v>185.88947366972539</v>
      </c>
      <c r="AA44" s="125">
        <f t="shared" ca="1" si="2"/>
        <v>182.64340074497488</v>
      </c>
      <c r="AB44" s="125">
        <f t="shared" ca="1" si="2"/>
        <v>188.98669819023655</v>
      </c>
      <c r="AC44" s="125">
        <f t="shared" ca="1" si="2"/>
        <v>195.98626326707452</v>
      </c>
      <c r="AD44" s="125">
        <f t="shared" ca="1" si="2"/>
        <v>203.60341748849416</v>
      </c>
      <c r="AE44" s="125">
        <f t="shared" ca="1" si="2"/>
        <v>211.80577273761699</v>
      </c>
      <c r="AF44" s="125">
        <f t="shared" ca="1" si="2"/>
        <v>220.56606328362946</v>
      </c>
      <c r="AG44" s="125">
        <f t="shared" ca="1" si="2"/>
        <v>229.86111918121955</v>
      </c>
      <c r="AH44" s="125">
        <f t="shared" ca="1" si="2"/>
        <v>239.67095621170012</v>
      </c>
      <c r="AI44" s="125">
        <f t="shared" ca="1" si="2"/>
        <v>249.97796090718001</v>
      </c>
    </row>
    <row r="45" spans="1:35" x14ac:dyDescent="0.55000000000000004">
      <c r="B45" s="4" t="s">
        <v>45</v>
      </c>
      <c r="F45" s="86" t="s">
        <v>41</v>
      </c>
      <c r="L45" s="87">
        <f ca="1">'Calc.Mth'!L75</f>
        <v>-26.172375000000002</v>
      </c>
      <c r="M45" s="87">
        <f ca="1">'Calc.Mth'!M75</f>
        <v>-50.354175000000005</v>
      </c>
      <c r="N45" s="87">
        <f ca="1">'Calc.Mth'!N75</f>
        <v>-47.110275000000001</v>
      </c>
      <c r="O45" s="87">
        <f ca="1">'Calc.Mth'!O75</f>
        <v>-40.957923749999999</v>
      </c>
      <c r="P45" s="87">
        <f ca="1">'Calc.Mth'!P75</f>
        <v>-35.763075937499998</v>
      </c>
      <c r="Q45" s="87">
        <f ca="1">'Calc.Mth'!Q75</f>
        <v>-35.384407749374994</v>
      </c>
      <c r="R45" s="87">
        <f ca="1">'Calc.Mth'!R75</f>
        <v>-35.411545313643749</v>
      </c>
      <c r="S45" s="87">
        <f ca="1">'Calc.Mth'!S75</f>
        <v>-35.808048154139442</v>
      </c>
      <c r="T45" s="87">
        <f ca="1">'Calc.Mth'!T75</f>
        <v>-36.544651993188729</v>
      </c>
      <c r="U45" s="87">
        <f ca="1">'Calc.Mth'!U75</f>
        <v>-37.598312030732544</v>
      </c>
      <c r="V45" s="87">
        <f ca="1">'Calc.Mth'!V75</f>
        <v>-38.951398111201335</v>
      </c>
      <c r="W45" s="87">
        <f ca="1">'Calc.Mth'!W75</f>
        <v>-40.591019581555308</v>
      </c>
      <c r="X45" s="87">
        <f ca="1">'Calc.Mth'!X75</f>
        <v>-31.297270535553178</v>
      </c>
      <c r="Y45" s="87">
        <f ca="1">'Calc.Mth'!Y75</f>
        <v>-27.299204390988002</v>
      </c>
      <c r="Z45" s="87">
        <f ca="1">'Calc.Mth'!Z75</f>
        <v>-25.211600245798849</v>
      </c>
      <c r="AA45" s="87">
        <f ca="1">'Calc.Mth'!AA75</f>
        <v>-24.946156253642702</v>
      </c>
      <c r="AB45" s="87">
        <f ca="1">'Calc.Mth'!AB75</f>
        <v>-25.796844416564937</v>
      </c>
      <c r="AC45" s="87">
        <f ca="1">'Calc.Mth'!AC75</f>
        <v>-26.81643697552914</v>
      </c>
      <c r="AD45" s="87">
        <f ca="1">'Calc.Mth'!AD75</f>
        <v>-27.925646986251515</v>
      </c>
      <c r="AE45" s="87">
        <f ca="1">'Calc.Mth'!AE75</f>
        <v>-29.121033033767624</v>
      </c>
      <c r="AF45" s="87">
        <f ca="1">'Calc.Mth'!AF75</f>
        <v>-30.39988155770515</v>
      </c>
      <c r="AG45" s="87">
        <f ca="1">'Calc.Mth'!AG75</f>
        <v>-31.760078298129997</v>
      </c>
      <c r="AH45" s="87">
        <f ca="1">'Calc.Mth'!AH75</f>
        <v>-33.199995274832858</v>
      </c>
      <c r="AI45" s="87">
        <f ca="1">'Calc.Mth'!AI75</f>
        <v>-34.718390540026881</v>
      </c>
    </row>
    <row r="46" spans="1:35" s="72" customFormat="1" x14ac:dyDescent="0.55000000000000004">
      <c r="A46" s="71"/>
      <c r="B46" s="88" t="s">
        <v>95</v>
      </c>
      <c r="C46" s="88"/>
      <c r="D46" s="88"/>
      <c r="E46" s="88"/>
      <c r="F46" s="89" t="s">
        <v>41</v>
      </c>
      <c r="G46" s="88"/>
      <c r="H46" s="90"/>
      <c r="I46" s="90"/>
      <c r="J46" s="90"/>
      <c r="K46" s="90"/>
      <c r="L46" s="91">
        <f ca="1">SUM(L44:L45)</f>
        <v>44.480749999999986</v>
      </c>
      <c r="M46" s="91">
        <f t="shared" ref="M46:AI46" ca="1" si="3">SUM(M44:M45)</f>
        <v>124.12832500000002</v>
      </c>
      <c r="N46" s="91">
        <f t="shared" ca="1" si="3"/>
        <v>176.36863125000002</v>
      </c>
      <c r="O46" s="91">
        <f t="shared" ca="1" si="3"/>
        <v>195.26158406250002</v>
      </c>
      <c r="P46" s="91">
        <f t="shared" ca="1" si="3"/>
        <v>195.80000695312501</v>
      </c>
      <c r="Q46" s="91">
        <f t="shared" ca="1" si="3"/>
        <v>194.37506904515624</v>
      </c>
      <c r="R46" s="91">
        <f t="shared" ca="1" si="3"/>
        <v>195.12002624283281</v>
      </c>
      <c r="S46" s="91">
        <f t="shared" ca="1" si="3"/>
        <v>197.84632508966939</v>
      </c>
      <c r="T46" s="91">
        <f t="shared" ca="1" si="3"/>
        <v>202.40328030430879</v>
      </c>
      <c r="U46" s="91">
        <f t="shared" ca="1" si="3"/>
        <v>208.67306551521858</v>
      </c>
      <c r="V46" s="91">
        <f t="shared" ca="1" si="3"/>
        <v>216.56650235245081</v>
      </c>
      <c r="W46" s="91">
        <f t="shared" ca="1" si="3"/>
        <v>226.01953143061422</v>
      </c>
      <c r="X46" s="91">
        <f t="shared" ca="1" si="3"/>
        <v>214.41083193612076</v>
      </c>
      <c r="Y46" s="91">
        <f t="shared" ca="1" si="3"/>
        <v>178.17256089655774</v>
      </c>
      <c r="Z46" s="91">
        <f t="shared" ca="1" si="3"/>
        <v>160.67787342392654</v>
      </c>
      <c r="AA46" s="91">
        <f t="shared" ca="1" si="3"/>
        <v>157.69724449133219</v>
      </c>
      <c r="AB46" s="91">
        <f t="shared" ca="1" si="3"/>
        <v>163.18985377367162</v>
      </c>
      <c r="AC46" s="91">
        <f t="shared" ca="1" si="3"/>
        <v>169.16982629154538</v>
      </c>
      <c r="AD46" s="91">
        <f t="shared" ca="1" si="3"/>
        <v>175.67777050224265</v>
      </c>
      <c r="AE46" s="91">
        <f t="shared" ca="1" si="3"/>
        <v>182.68473970384937</v>
      </c>
      <c r="AF46" s="91">
        <f t="shared" ca="1" si="3"/>
        <v>190.1661817259243</v>
      </c>
      <c r="AG46" s="91">
        <f t="shared" ca="1" si="3"/>
        <v>198.10104088308955</v>
      </c>
      <c r="AH46" s="91">
        <f t="shared" ca="1" si="3"/>
        <v>206.47096093686724</v>
      </c>
      <c r="AI46" s="91">
        <f t="shared" ca="1" si="3"/>
        <v>215.25957036715312</v>
      </c>
    </row>
    <row r="47" spans="1:35" x14ac:dyDescent="0.55000000000000004">
      <c r="B47" s="105" t="s">
        <v>96</v>
      </c>
      <c r="F47" s="86" t="s">
        <v>30</v>
      </c>
      <c r="L47" s="106">
        <f ca="1">L46/L44</f>
        <v>0.62956521739130422</v>
      </c>
      <c r="M47" s="106">
        <f t="shared" ref="M47:AI47" ca="1" si="4">M46/M44</f>
        <v>0.71140845070422543</v>
      </c>
      <c r="N47" s="106">
        <f t="shared" ca="1" si="4"/>
        <v>0.78919587628865984</v>
      </c>
      <c r="O47" s="106">
        <f t="shared" ca="1" si="4"/>
        <v>0.82661074807373458</v>
      </c>
      <c r="P47" s="106">
        <f t="shared" ca="1" si="4"/>
        <v>0.84555795556413416</v>
      </c>
      <c r="Q47" s="106">
        <f t="shared" ca="1" si="4"/>
        <v>0.84599369635134369</v>
      </c>
      <c r="R47" s="106">
        <f t="shared" ca="1" si="4"/>
        <v>0.84639177586585579</v>
      </c>
      <c r="S47" s="106">
        <f t="shared" ca="1" si="4"/>
        <v>0.84674779394445487</v>
      </c>
      <c r="T47" s="106">
        <f t="shared" ca="1" si="4"/>
        <v>0.84706018737299849</v>
      </c>
      <c r="U47" s="106">
        <f t="shared" ca="1" si="4"/>
        <v>0.84732975303345126</v>
      </c>
      <c r="V47" s="106">
        <f t="shared" ca="1" si="4"/>
        <v>0.84755902408198502</v>
      </c>
      <c r="W47" s="106">
        <f t="shared" ca="1" si="4"/>
        <v>0.84775163838244905</v>
      </c>
      <c r="X47" s="106">
        <f t="shared" ca="1" si="4"/>
        <v>0.87262418202443603</v>
      </c>
      <c r="Y47" s="106">
        <f t="shared" ca="1" si="4"/>
        <v>0.86713890177181108</v>
      </c>
      <c r="Z47" s="106">
        <f t="shared" ca="1" si="4"/>
        <v>0.8643731689154549</v>
      </c>
      <c r="AA47" s="106">
        <f t="shared" ca="1" si="4"/>
        <v>0.86341605471705474</v>
      </c>
      <c r="AB47" s="106">
        <f t="shared" ca="1" si="4"/>
        <v>0.86349915277848033</v>
      </c>
      <c r="AC47" s="106">
        <f t="shared" ca="1" si="4"/>
        <v>0.86317185435090504</v>
      </c>
      <c r="AD47" s="106">
        <f t="shared" ca="1" si="4"/>
        <v>0.86284293588623273</v>
      </c>
      <c r="AE47" s="106">
        <f t="shared" ca="1" si="4"/>
        <v>0.86251067354126143</v>
      </c>
      <c r="AF47" s="106">
        <f t="shared" ca="1" si="4"/>
        <v>0.86217335021927899</v>
      </c>
      <c r="AG47" s="106">
        <f t="shared" ca="1" si="4"/>
        <v>0.86182927146939214</v>
      </c>
      <c r="AH47" s="106">
        <f t="shared" ca="1" si="4"/>
        <v>0.86147676881838164</v>
      </c>
      <c r="AI47" s="106">
        <f t="shared" ca="1" si="4"/>
        <v>0.86111419417122825</v>
      </c>
    </row>
    <row r="48" spans="1:35" x14ac:dyDescent="0.55000000000000004">
      <c r="B48" s="4" t="s">
        <v>97</v>
      </c>
      <c r="F48" s="86" t="s">
        <v>41</v>
      </c>
      <c r="L48" s="87">
        <f ca="1">-'Calc.Mth'!L97</f>
        <v>-63.25</v>
      </c>
      <c r="M48" s="87">
        <f ca="1">-'Calc.Mth'!M97</f>
        <v>-89.125</v>
      </c>
      <c r="N48" s="87">
        <f ca="1">-'Calc.Mth'!N97</f>
        <v>-132.25</v>
      </c>
      <c r="O48" s="87">
        <f ca="1">-'Calc.Mth'!O97</f>
        <v>-132.25</v>
      </c>
      <c r="P48" s="87">
        <f ca="1">-'Calc.Mth'!P97</f>
        <v>-132.25</v>
      </c>
      <c r="Q48" s="87">
        <f ca="1">-'Calc.Mth'!Q97</f>
        <v>-149.5</v>
      </c>
      <c r="R48" s="87">
        <f ca="1">-'Calc.Mth'!R97</f>
        <v>-149.5</v>
      </c>
      <c r="S48" s="87">
        <f ca="1">-'Calc.Mth'!S97</f>
        <v>-149.5</v>
      </c>
      <c r="T48" s="87">
        <f ca="1">-'Calc.Mth'!T97</f>
        <v>-166.75</v>
      </c>
      <c r="U48" s="87">
        <f ca="1">-'Calc.Mth'!U97</f>
        <v>-166.75</v>
      </c>
      <c r="V48" s="87">
        <f ca="1">-'Calc.Mth'!V97</f>
        <v>-181.125</v>
      </c>
      <c r="W48" s="87">
        <f ca="1">-'Calc.Mth'!W97</f>
        <v>-214.245</v>
      </c>
      <c r="X48" s="87">
        <f ca="1">-'Calc.Mth'!X97</f>
        <v>-198.72000000000003</v>
      </c>
      <c r="Y48" s="87">
        <f ca="1">-'Calc.Mth'!Y97</f>
        <v>-198.72000000000003</v>
      </c>
      <c r="Z48" s="87">
        <f ca="1">-'Calc.Mth'!Z97</f>
        <v>-201.82500000000005</v>
      </c>
      <c r="AA48" s="87">
        <f ca="1">-'Calc.Mth'!AA97</f>
        <v>-214.24500000000003</v>
      </c>
      <c r="AB48" s="87">
        <f ca="1">-'Calc.Mth'!AB97</f>
        <v>-229.77000000000004</v>
      </c>
      <c r="AC48" s="87">
        <f ca="1">-'Calc.Mth'!AC97</f>
        <v>-248.40000000000003</v>
      </c>
      <c r="AD48" s="87">
        <f ca="1">-'Calc.Mth'!AD97</f>
        <v>-248.40000000000003</v>
      </c>
      <c r="AE48" s="87">
        <f ca="1">-'Calc.Mth'!AE97</f>
        <v>-248.40000000000003</v>
      </c>
      <c r="AF48" s="87">
        <f ca="1">-'Calc.Mth'!AF97</f>
        <v>-279.45</v>
      </c>
      <c r="AG48" s="87">
        <f ca="1">-'Calc.Mth'!AG97</f>
        <v>-279.45</v>
      </c>
      <c r="AH48" s="87">
        <f ca="1">-'Calc.Mth'!AH97</f>
        <v>-279.45</v>
      </c>
      <c r="AI48" s="87">
        <f ca="1">-'Calc.Mth'!AI97</f>
        <v>-310.5</v>
      </c>
    </row>
    <row r="49" spans="1:35" x14ac:dyDescent="0.55000000000000004">
      <c r="B49" s="4" t="s">
        <v>73</v>
      </c>
      <c r="F49" s="86" t="s">
        <v>41</v>
      </c>
      <c r="L49" s="87">
        <f>-'Calc.Mth'!L126</f>
        <v>-20</v>
      </c>
      <c r="M49" s="87">
        <f ca="1">-'Calc.Mth'!M126</f>
        <v>-20</v>
      </c>
      <c r="N49" s="87">
        <f ca="1">-'Calc.Mth'!N126</f>
        <v>-21.400000000000002</v>
      </c>
      <c r="O49" s="87">
        <f ca="1">-'Calc.Mth'!O126</f>
        <v>-21.400000000000002</v>
      </c>
      <c r="P49" s="87">
        <f ca="1">-'Calc.Mth'!P126</f>
        <v>-21.400000000000002</v>
      </c>
      <c r="Q49" s="87">
        <f ca="1">-'Calc.Mth'!Q126</f>
        <v>-22.898000000000003</v>
      </c>
      <c r="R49" s="87">
        <f ca="1">-'Calc.Mth'!R126</f>
        <v>-22.898000000000003</v>
      </c>
      <c r="S49" s="87">
        <f ca="1">-'Calc.Mth'!S126</f>
        <v>-22.898000000000003</v>
      </c>
      <c r="T49" s="87">
        <f ca="1">-'Calc.Mth'!T126</f>
        <v>-24.500860000000007</v>
      </c>
      <c r="U49" s="87">
        <f ca="1">-'Calc.Mth'!U126</f>
        <v>-24.500860000000007</v>
      </c>
      <c r="V49" s="87">
        <f ca="1">-'Calc.Mth'!V126</f>
        <v>-24.500860000000007</v>
      </c>
      <c r="W49" s="87">
        <f ca="1">-'Calc.Mth'!W126</f>
        <v>-26.21592020000001</v>
      </c>
      <c r="X49" s="87">
        <f ca="1">-'Calc.Mth'!X126</f>
        <v>-26.21592020000001</v>
      </c>
      <c r="Y49" s="87">
        <f ca="1">-'Calc.Mth'!Y126</f>
        <v>-26.21592020000001</v>
      </c>
      <c r="Z49" s="87">
        <f ca="1">-'Calc.Mth'!Z126</f>
        <v>-28.051034614000013</v>
      </c>
      <c r="AA49" s="87">
        <f ca="1">-'Calc.Mth'!AA126</f>
        <v>-28.051034614000013</v>
      </c>
      <c r="AB49" s="87">
        <f ca="1">-'Calc.Mth'!AB126</f>
        <v>-28.051034614000013</v>
      </c>
      <c r="AC49" s="87">
        <f ca="1">-'Calc.Mth'!AC126</f>
        <v>-30.014607036980017</v>
      </c>
      <c r="AD49" s="87">
        <f ca="1">-'Calc.Mth'!AD126</f>
        <v>-30.014607036980017</v>
      </c>
      <c r="AE49" s="87">
        <f ca="1">-'Calc.Mth'!AE126</f>
        <v>-30.014607036980017</v>
      </c>
      <c r="AF49" s="87">
        <f ca="1">-'Calc.Mth'!AF126</f>
        <v>-32.115629529568622</v>
      </c>
      <c r="AG49" s="87">
        <f ca="1">-'Calc.Mth'!AG126</f>
        <v>-32.115629529568622</v>
      </c>
      <c r="AH49" s="87">
        <f ca="1">-'Calc.Mth'!AH126</f>
        <v>-32.115629529568622</v>
      </c>
      <c r="AI49" s="87">
        <f ca="1">-'Calc.Mth'!AI126</f>
        <v>-34.36372359663843</v>
      </c>
    </row>
    <row r="50" spans="1:35" x14ac:dyDescent="0.55000000000000004">
      <c r="B50" s="4" t="s">
        <v>75</v>
      </c>
      <c r="F50" s="86" t="s">
        <v>41</v>
      </c>
      <c r="L50" s="87">
        <f ca="1">-'Calc.Mth'!L128</f>
        <v>-983</v>
      </c>
      <c r="M50" s="87">
        <f ca="1">-'Calc.Mth'!M128</f>
        <v>-589.80000000000007</v>
      </c>
      <c r="N50" s="87">
        <f ca="1">-'Calc.Mth'!N128</f>
        <v>-393.20000000000005</v>
      </c>
      <c r="O50" s="87">
        <f ca="1">-'Calc.Mth'!O128</f>
        <v>-138.234375</v>
      </c>
      <c r="P50" s="87">
        <f ca="1">-'Calc.Mth'!P128</f>
        <v>-132.63741875000002</v>
      </c>
      <c r="Q50" s="87">
        <f ca="1">-'Calc.Mth'!Q128</f>
        <v>-128.93967993750002</v>
      </c>
      <c r="R50" s="87">
        <f ca="1">-'Calc.Mth'!R128</f>
        <v>-126.93045312687501</v>
      </c>
      <c r="S50" s="87">
        <f ca="1">-'Calc.Mth'!S128</f>
        <v>-126.43583110044375</v>
      </c>
      <c r="T50" s="87">
        <f ca="1">-'Calc.Mth'!T128</f>
        <v>-127.3135485939592</v>
      </c>
      <c r="U50" s="87">
        <f ca="1">-'Calc.Mth'!U128</f>
        <v>-129.44862491454805</v>
      </c>
      <c r="V50" s="87">
        <f ca="1">-'Calc.Mth'!V128</f>
        <v>-132.7496873897264</v>
      </c>
      <c r="W50" s="87">
        <f ca="1">-'Calc.Mth'!W128</f>
        <v>-137.14587542849321</v>
      </c>
      <c r="X50" s="87">
        <f ca="1">-'Calc.Mth'!X128</f>
        <v>-142.58424014175077</v>
      </c>
      <c r="Y50" s="87">
        <f ca="1">-'Calc.Mth'!Y128</f>
        <v>-136.98581736994694</v>
      </c>
      <c r="Z50" s="87">
        <f ca="1">-'Calc.Mth'!Z128</f>
        <v>-136.34284044137578</v>
      </c>
      <c r="AA50" s="87">
        <f ca="1">-'Calc.Mth'!AA128</f>
        <v>-138.51424524947478</v>
      </c>
      <c r="AB50" s="87">
        <f ca="1">-'Calc.Mth'!AB128</f>
        <v>-144.35188749756031</v>
      </c>
      <c r="AC50" s="87">
        <f ca="1">-'Calc.Mth'!AC128</f>
        <v>-150.80603204091847</v>
      </c>
      <c r="AD50" s="87">
        <f ca="1">-'Calc.Mth'!AD128</f>
        <v>-157.86269192653236</v>
      </c>
      <c r="AE50" s="87">
        <f ca="1">-'Calc.Mth'!AE128</f>
        <v>-165.5136550908168</v>
      </c>
      <c r="AF50" s="87">
        <f ca="1">-'Calc.Mth'!AF128</f>
        <v>-173.75574829159336</v>
      </c>
      <c r="AG50" s="87">
        <f ca="1">-'Calc.Mth'!AG128</f>
        <v>-182.59021165687611</v>
      </c>
      <c r="AH50" s="87">
        <f ca="1">-'Calc.Mth'!AH128</f>
        <v>-192.02216664906075</v>
      </c>
      <c r="AI50" s="87">
        <f ca="1">-'Calc.Mth'!AI128</f>
        <v>-202.06016273706496</v>
      </c>
    </row>
    <row r="51" spans="1:35" x14ac:dyDescent="0.55000000000000004">
      <c r="B51" s="4" t="s">
        <v>98</v>
      </c>
      <c r="F51" s="86" t="s">
        <v>41</v>
      </c>
      <c r="L51" s="87">
        <f ca="1">-'Calc.Mth'!L135</f>
        <v>-14</v>
      </c>
      <c r="M51" s="87">
        <f ca="1">-'Calc.Mth'!M135</f>
        <v>-14</v>
      </c>
      <c r="N51" s="87">
        <f ca="1">-'Calc.Mth'!N135</f>
        <v>-14</v>
      </c>
      <c r="O51" s="87">
        <f ca="1">-'Calc.Mth'!O135</f>
        <v>-14</v>
      </c>
      <c r="P51" s="87">
        <f ca="1">-'Calc.Mth'!P135</f>
        <v>-14</v>
      </c>
      <c r="Q51" s="87">
        <f ca="1">-'Calc.Mth'!Q135</f>
        <v>-14</v>
      </c>
      <c r="R51" s="87">
        <f ca="1">-'Calc.Mth'!R135</f>
        <v>-14</v>
      </c>
      <c r="S51" s="87">
        <f ca="1">-'Calc.Mth'!S135</f>
        <v>-14</v>
      </c>
      <c r="T51" s="87">
        <f ca="1">-'Calc.Mth'!T135</f>
        <v>-14</v>
      </c>
      <c r="U51" s="87">
        <f ca="1">-'Calc.Mth'!U135</f>
        <v>-14</v>
      </c>
      <c r="V51" s="87">
        <f ca="1">-'Calc.Mth'!V135</f>
        <v>-14</v>
      </c>
      <c r="W51" s="87">
        <f ca="1">-'Calc.Mth'!W135</f>
        <v>-14</v>
      </c>
      <c r="X51" s="87">
        <f ca="1">-'Calc.Mth'!X135</f>
        <v>-14</v>
      </c>
      <c r="Y51" s="87">
        <f ca="1">-'Calc.Mth'!Y135</f>
        <v>-14</v>
      </c>
      <c r="Z51" s="87">
        <f ca="1">-'Calc.Mth'!Z135</f>
        <v>-14</v>
      </c>
      <c r="AA51" s="87">
        <f ca="1">-'Calc.Mth'!AA135</f>
        <v>-14</v>
      </c>
      <c r="AB51" s="87">
        <f ca="1">-'Calc.Mth'!AB135</f>
        <v>-14</v>
      </c>
      <c r="AC51" s="87">
        <f ca="1">-'Calc.Mth'!AC135</f>
        <v>-14</v>
      </c>
      <c r="AD51" s="87">
        <f ca="1">-'Calc.Mth'!AD135</f>
        <v>-14</v>
      </c>
      <c r="AE51" s="87">
        <f ca="1">-'Calc.Mth'!AE135</f>
        <v>-14</v>
      </c>
      <c r="AF51" s="87">
        <f ca="1">-'Calc.Mth'!AF135</f>
        <v>-14</v>
      </c>
      <c r="AG51" s="87">
        <f ca="1">-'Calc.Mth'!AG135</f>
        <v>-14</v>
      </c>
      <c r="AH51" s="87">
        <f ca="1">-'Calc.Mth'!AH135</f>
        <v>-14</v>
      </c>
      <c r="AI51" s="87">
        <f ca="1">-'Calc.Mth'!AI135</f>
        <v>-28</v>
      </c>
    </row>
    <row r="52" spans="1:35" x14ac:dyDescent="0.55000000000000004">
      <c r="B52" s="4" t="s">
        <v>99</v>
      </c>
      <c r="F52" s="86" t="s">
        <v>41</v>
      </c>
      <c r="L52" s="87">
        <f ca="1">-'Calc.Mth'!L137</f>
        <v>-3.5326562499999996</v>
      </c>
      <c r="M52" s="87">
        <f ca="1">-'Calc.Mth'!M137</f>
        <v>-8.7241250000000008</v>
      </c>
      <c r="N52" s="87">
        <f ca="1">-'Calc.Mth'!N137</f>
        <v>-11.173945312500003</v>
      </c>
      <c r="O52" s="87">
        <f ca="1">-'Calc.Mth'!O137</f>
        <v>-11.810975390625002</v>
      </c>
      <c r="P52" s="87">
        <f ca="1">-'Calc.Mth'!P137</f>
        <v>-11.578154144531251</v>
      </c>
      <c r="Q52" s="87">
        <f ca="1">-'Calc.Mth'!Q137</f>
        <v>-11.487973839726562</v>
      </c>
      <c r="R52" s="87">
        <f ca="1">-'Calc.Mth'!R137</f>
        <v>-11.526578577823829</v>
      </c>
      <c r="S52" s="87">
        <f ca="1">-'Calc.Mth'!S137</f>
        <v>-11.682718662190442</v>
      </c>
      <c r="T52" s="87">
        <f ca="1">-'Calc.Mth'!T137</f>
        <v>-11.947396614874876</v>
      </c>
      <c r="U52" s="87">
        <f ca="1">-'Calc.Mth'!U137</f>
        <v>-12.313568877297556</v>
      </c>
      <c r="V52" s="87">
        <f ca="1">-'Calc.Mth'!V137</f>
        <v>-12.775895023182608</v>
      </c>
      <c r="W52" s="87">
        <f ca="1">-'Calc.Mth'!W137</f>
        <v>-13.330527550608478</v>
      </c>
      <c r="X52" s="87">
        <f ca="1">-'Calc.Mth'!X137</f>
        <v>-12.285405123583697</v>
      </c>
      <c r="Y52" s="87">
        <f ca="1">-'Calc.Mth'!Y137</f>
        <v>-10.273588264377288</v>
      </c>
      <c r="Z52" s="87">
        <f ca="1">-'Calc.Mth'!Z137</f>
        <v>-9.2944736834862702</v>
      </c>
      <c r="AA52" s="87">
        <f ca="1">-'Calc.Mth'!AA137</f>
        <v>-9.1321700372487449</v>
      </c>
      <c r="AB52" s="87">
        <f ca="1">-'Calc.Mth'!AB137</f>
        <v>-9.449334909511828</v>
      </c>
      <c r="AC52" s="87">
        <f ca="1">-'Calc.Mth'!AC137</f>
        <v>-9.7993131633537267</v>
      </c>
      <c r="AD52" s="87">
        <f ca="1">-'Calc.Mth'!AD137</f>
        <v>-10.180170874424709</v>
      </c>
      <c r="AE52" s="87">
        <f ca="1">-'Calc.Mth'!AE137</f>
        <v>-10.59028863688085</v>
      </c>
      <c r="AF52" s="87">
        <f ca="1">-'Calc.Mth'!AF137</f>
        <v>-11.028303164181473</v>
      </c>
      <c r="AG52" s="87">
        <f ca="1">-'Calc.Mth'!AG137</f>
        <v>-11.493055959060978</v>
      </c>
      <c r="AH52" s="87">
        <f ca="1">-'Calc.Mth'!AH137</f>
        <v>-11.983547810585007</v>
      </c>
      <c r="AI52" s="87">
        <f ca="1">-'Calc.Mth'!AI137</f>
        <v>-12.498898045359001</v>
      </c>
    </row>
    <row r="53" spans="1:35" s="72" customFormat="1" x14ac:dyDescent="0.55000000000000004">
      <c r="A53" s="71"/>
      <c r="B53" s="88" t="s">
        <v>100</v>
      </c>
      <c r="C53" s="88"/>
      <c r="D53" s="88"/>
      <c r="E53" s="88"/>
      <c r="F53" s="89" t="s">
        <v>41</v>
      </c>
      <c r="G53" s="88"/>
      <c r="H53" s="90"/>
      <c r="I53" s="90"/>
      <c r="J53" s="90"/>
      <c r="K53" s="90"/>
      <c r="L53" s="91">
        <f ca="1">SUM(L48:L52,L46)</f>
        <v>-1039.30190625</v>
      </c>
      <c r="M53" s="91">
        <f t="shared" ref="M53:AI53" ca="1" si="5">SUM(M48:M52,M46)</f>
        <v>-597.52080000000001</v>
      </c>
      <c r="N53" s="91">
        <f t="shared" ca="1" si="5"/>
        <v>-395.6553140625</v>
      </c>
      <c r="O53" s="91">
        <f t="shared" ca="1" si="5"/>
        <v>-122.43376632812496</v>
      </c>
      <c r="P53" s="91">
        <f t="shared" ca="1" si="5"/>
        <v>-116.06556594140628</v>
      </c>
      <c r="Q53" s="91">
        <f t="shared" ca="1" si="5"/>
        <v>-132.45058473207035</v>
      </c>
      <c r="R53" s="91">
        <f t="shared" ca="1" si="5"/>
        <v>-129.73500546186602</v>
      </c>
      <c r="S53" s="91">
        <f t="shared" ca="1" si="5"/>
        <v>-126.67022467296476</v>
      </c>
      <c r="T53" s="91">
        <f t="shared" ca="1" si="5"/>
        <v>-142.10852490452532</v>
      </c>
      <c r="U53" s="91">
        <f t="shared" ca="1" si="5"/>
        <v>-138.33998827662703</v>
      </c>
      <c r="V53" s="91">
        <f t="shared" ca="1" si="5"/>
        <v>-148.58494006045822</v>
      </c>
      <c r="W53" s="91">
        <f t="shared" ca="1" si="5"/>
        <v>-178.91779174848745</v>
      </c>
      <c r="X53" s="91">
        <f t="shared" ca="1" si="5"/>
        <v>-179.39473352921374</v>
      </c>
      <c r="Y53" s="91">
        <f t="shared" ca="1" si="5"/>
        <v>-208.02276493776651</v>
      </c>
      <c r="Z53" s="91">
        <f t="shared" ca="1" si="5"/>
        <v>-228.83547531493559</v>
      </c>
      <c r="AA53" s="91">
        <f t="shared" ca="1" si="5"/>
        <v>-246.24520540939136</v>
      </c>
      <c r="AB53" s="91">
        <f t="shared" ca="1" si="5"/>
        <v>-262.43240324740054</v>
      </c>
      <c r="AC53" s="91">
        <f t="shared" ca="1" si="5"/>
        <v>-283.85012594970681</v>
      </c>
      <c r="AD53" s="91">
        <f t="shared" ca="1" si="5"/>
        <v>-284.77969933569449</v>
      </c>
      <c r="AE53" s="91">
        <f t="shared" ca="1" si="5"/>
        <v>-285.83381106082834</v>
      </c>
      <c r="AF53" s="91">
        <f t="shared" ca="1" si="5"/>
        <v>-320.18349925941914</v>
      </c>
      <c r="AG53" s="91">
        <f t="shared" ca="1" si="5"/>
        <v>-321.54785626241608</v>
      </c>
      <c r="AH53" s="91">
        <f t="shared" ca="1" si="5"/>
        <v>-323.10038305234713</v>
      </c>
      <c r="AI53" s="91">
        <f t="shared" ca="1" si="5"/>
        <v>-372.16321401190936</v>
      </c>
    </row>
    <row r="54" spans="1:35" x14ac:dyDescent="0.55000000000000004">
      <c r="B54" s="105" t="s">
        <v>96</v>
      </c>
      <c r="F54" s="86" t="s">
        <v>30</v>
      </c>
      <c r="L54" s="106">
        <f ca="1">L53/L44</f>
        <v>-14.709921270290595</v>
      </c>
      <c r="M54" s="106">
        <f t="shared" ref="M54:AI54" ca="1" si="6">M53/M44</f>
        <v>-3.4245313999971341</v>
      </c>
      <c r="N54" s="106">
        <f t="shared" ca="1" si="6"/>
        <v>-1.7704369539910434</v>
      </c>
      <c r="O54" s="106">
        <f t="shared" ca="1" si="6"/>
        <v>-0.51830506066970194</v>
      </c>
      <c r="P54" s="106">
        <f t="shared" ca="1" si="6"/>
        <v>-0.50122655344085199</v>
      </c>
      <c r="Q54" s="106">
        <f t="shared" ca="1" si="6"/>
        <v>-0.57647495798625081</v>
      </c>
      <c r="R54" s="106">
        <f t="shared" ca="1" si="6"/>
        <v>-0.56276459048943328</v>
      </c>
      <c r="S54" s="106">
        <f t="shared" ca="1" si="6"/>
        <v>-0.54212648757397552</v>
      </c>
      <c r="T54" s="106">
        <f t="shared" ca="1" si="6"/>
        <v>-0.59472590341395315</v>
      </c>
      <c r="U54" s="106">
        <f t="shared" ca="1" si="6"/>
        <v>-0.56173798861710811</v>
      </c>
      <c r="V54" s="106">
        <f t="shared" ca="1" si="6"/>
        <v>-0.58150501311588021</v>
      </c>
      <c r="W54" s="106">
        <f t="shared" ca="1" si="6"/>
        <v>-0.67108293752530701</v>
      </c>
      <c r="X54" s="106">
        <f t="shared" ca="1" si="6"/>
        <v>-0.73011321858991196</v>
      </c>
      <c r="Y54" s="106">
        <f t="shared" ca="1" si="6"/>
        <v>-1.0124153294086455</v>
      </c>
      <c r="Z54" s="106">
        <f t="shared" ca="1" si="6"/>
        <v>-1.2310297662228764</v>
      </c>
      <c r="AA54" s="106">
        <f t="shared" ca="1" si="6"/>
        <v>-1.3482294153798839</v>
      </c>
      <c r="AB54" s="106">
        <f t="shared" ca="1" si="6"/>
        <v>-1.3886289657446291</v>
      </c>
      <c r="AC54" s="106">
        <f t="shared" ca="1" si="6"/>
        <v>-1.4483164341109886</v>
      </c>
      <c r="AD54" s="106">
        <f t="shared" ca="1" si="6"/>
        <v>-1.3986980319315498</v>
      </c>
      <c r="AE54" s="106">
        <f t="shared" ca="1" si="6"/>
        <v>-1.3495090684563946</v>
      </c>
      <c r="AF54" s="106">
        <f t="shared" ca="1" si="6"/>
        <v>-1.4516444392793555</v>
      </c>
      <c r="AG54" s="106">
        <f t="shared" ca="1" si="6"/>
        <v>-1.3988788421799683</v>
      </c>
      <c r="AH54" s="106">
        <f t="shared" ca="1" si="6"/>
        <v>-1.3480998622417737</v>
      </c>
      <c r="AI54" s="106">
        <f t="shared" ca="1" si="6"/>
        <v>-1.4887841018516761</v>
      </c>
    </row>
    <row r="56" spans="1:35" x14ac:dyDescent="0.55000000000000004">
      <c r="A56" s="82" t="s">
        <v>10</v>
      </c>
      <c r="B56" s="83" t="s">
        <v>88</v>
      </c>
      <c r="C56" s="83"/>
      <c r="D56" s="83"/>
      <c r="E56" s="83"/>
      <c r="F56" s="84"/>
      <c r="G56" s="83"/>
      <c r="H56" s="85"/>
      <c r="I56" s="85"/>
      <c r="J56" s="85"/>
      <c r="K56" s="85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</row>
    <row r="57" spans="1:35" ht="3" customHeight="1" x14ac:dyDescent="0.55000000000000004"/>
    <row r="58" spans="1:35" x14ac:dyDescent="0.55000000000000004">
      <c r="B58" s="4" t="s">
        <v>100</v>
      </c>
      <c r="F58" s="86" t="s">
        <v>41</v>
      </c>
      <c r="L58" s="107">
        <f ca="1">L53</f>
        <v>-1039.30190625</v>
      </c>
      <c r="M58" s="107">
        <f t="shared" ref="M58:AI58" ca="1" si="7">M53</f>
        <v>-597.52080000000001</v>
      </c>
      <c r="N58" s="107">
        <f t="shared" ca="1" si="7"/>
        <v>-395.6553140625</v>
      </c>
      <c r="O58" s="107">
        <f t="shared" ca="1" si="7"/>
        <v>-122.43376632812496</v>
      </c>
      <c r="P58" s="107">
        <f t="shared" ca="1" si="7"/>
        <v>-116.06556594140628</v>
      </c>
      <c r="Q58" s="107">
        <f t="shared" ca="1" si="7"/>
        <v>-132.45058473207035</v>
      </c>
      <c r="R58" s="107">
        <f t="shared" ca="1" si="7"/>
        <v>-129.73500546186602</v>
      </c>
      <c r="S58" s="107">
        <f t="shared" ca="1" si="7"/>
        <v>-126.67022467296476</v>
      </c>
      <c r="T58" s="107">
        <f t="shared" ca="1" si="7"/>
        <v>-142.10852490452532</v>
      </c>
      <c r="U58" s="107">
        <f t="shared" ca="1" si="7"/>
        <v>-138.33998827662703</v>
      </c>
      <c r="V58" s="107">
        <f t="shared" ca="1" si="7"/>
        <v>-148.58494006045822</v>
      </c>
      <c r="W58" s="107">
        <f t="shared" ca="1" si="7"/>
        <v>-178.91779174848745</v>
      </c>
      <c r="X58" s="107">
        <f t="shared" ca="1" si="7"/>
        <v>-179.39473352921374</v>
      </c>
      <c r="Y58" s="107">
        <f t="shared" ca="1" si="7"/>
        <v>-208.02276493776651</v>
      </c>
      <c r="Z58" s="107">
        <f t="shared" ca="1" si="7"/>
        <v>-228.83547531493559</v>
      </c>
      <c r="AA58" s="107">
        <f t="shared" ca="1" si="7"/>
        <v>-246.24520540939136</v>
      </c>
      <c r="AB58" s="107">
        <f t="shared" ca="1" si="7"/>
        <v>-262.43240324740054</v>
      </c>
      <c r="AC58" s="107">
        <f t="shared" ca="1" si="7"/>
        <v>-283.85012594970681</v>
      </c>
      <c r="AD58" s="107">
        <f t="shared" ca="1" si="7"/>
        <v>-284.77969933569449</v>
      </c>
      <c r="AE58" s="107">
        <f t="shared" ca="1" si="7"/>
        <v>-285.83381106082834</v>
      </c>
      <c r="AF58" s="107">
        <f t="shared" ca="1" si="7"/>
        <v>-320.18349925941914</v>
      </c>
      <c r="AG58" s="107">
        <f t="shared" ca="1" si="7"/>
        <v>-321.54785626241608</v>
      </c>
      <c r="AH58" s="107">
        <f t="shared" ca="1" si="7"/>
        <v>-323.10038305234713</v>
      </c>
      <c r="AI58" s="107">
        <f t="shared" ca="1" si="7"/>
        <v>-372.16321401190936</v>
      </c>
    </row>
    <row r="59" spans="1:35" x14ac:dyDescent="0.55000000000000004">
      <c r="B59" s="4" t="s">
        <v>101</v>
      </c>
      <c r="F59" s="86" t="s">
        <v>41</v>
      </c>
      <c r="L59" s="87">
        <f ca="1">-'Calc.Mth'!L147</f>
        <v>108.67031335616437</v>
      </c>
      <c r="M59" s="87">
        <f ca="1">-'Calc.Mth'!M147</f>
        <v>159.69811267123291</v>
      </c>
      <c r="N59" s="87">
        <f ca="1">-'Calc.Mth'!N147</f>
        <v>69.997006164383549</v>
      </c>
      <c r="O59" s="87">
        <f ca="1">-'Calc.Mth'!O147</f>
        <v>19.290317938356168</v>
      </c>
      <c r="P59" s="87">
        <f ca="1">-'Calc.Mth'!P147</f>
        <v>-7.0502100515753341</v>
      </c>
      <c r="Q59" s="87">
        <f ca="1">-'Calc.Mth'!Q147</f>
        <v>-8.2450353141516075</v>
      </c>
      <c r="R59" s="87">
        <f ca="1">-'Calc.Mth'!R147</f>
        <v>1.1504846551419519</v>
      </c>
      <c r="S59" s="87">
        <f ca="1">-'Calc.Mth'!S147</f>
        <v>4.6532311827568833</v>
      </c>
      <c r="T59" s="87">
        <f ca="1">-'Calc.Mth'!T147</f>
        <v>2.1530877019017112</v>
      </c>
      <c r="U59" s="87">
        <f ca="1">-'Calc.Mth'!U147</f>
        <v>10.736772661239741</v>
      </c>
      <c r="V59" s="87">
        <f ca="1">-'Calc.Mth'!V147</f>
        <v>13.556162585534707</v>
      </c>
      <c r="W59" s="87">
        <f ca="1">-'Calc.Mth'!W147</f>
        <v>9.8640842045370505</v>
      </c>
      <c r="X59" s="87">
        <f ca="1">-'Calc.Mth'!X147</f>
        <v>-30.143048804863838</v>
      </c>
      <c r="Y59" s="87">
        <f ca="1">-'Calc.Mth'!Y147</f>
        <v>-58.02410531571968</v>
      </c>
      <c r="Z59" s="87">
        <f ca="1">-'Calc.Mth'!Z147</f>
        <v>-32.700621384391013</v>
      </c>
      <c r="AA59" s="87">
        <f ca="1">-'Calc.Mth'!AA147</f>
        <v>-4.6031982078105784</v>
      </c>
      <c r="AB59" s="87">
        <f ca="1">-'Calc.Mth'!AB147</f>
        <v>8.9953171442943471</v>
      </c>
      <c r="AC59" s="87">
        <f ca="1">-'Calc.Mth'!AC147</f>
        <v>5.2222882672651281</v>
      </c>
      <c r="AD59" s="87">
        <f ca="1">-'Calc.Mth'!AD147</f>
        <v>10.618939052129178</v>
      </c>
      <c r="AE59" s="87">
        <f ca="1">-'Calc.Mth'!AE147</f>
        <v>11.434757383462056</v>
      </c>
      <c r="AF59" s="87">
        <f ca="1">-'Calc.Mth'!AF147</f>
        <v>6.9189795262147982</v>
      </c>
      <c r="AG59" s="87">
        <f ca="1">-'Calc.Mth'!AG147</f>
        <v>12.734990556895468</v>
      </c>
      <c r="AH59" s="87">
        <f ca="1">-'Calc.Mth'!AH147</f>
        <v>13.440283019733499</v>
      </c>
      <c r="AI59" s="87">
        <f ca="1">-'Calc.Mth'!AI147</f>
        <v>8.1219725221059207</v>
      </c>
    </row>
    <row r="60" spans="1:35" x14ac:dyDescent="0.55000000000000004">
      <c r="B60" s="4" t="s">
        <v>102</v>
      </c>
      <c r="F60" s="86" t="s">
        <v>41</v>
      </c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</row>
    <row r="61" spans="1:35" x14ac:dyDescent="0.55000000000000004">
      <c r="B61" s="4" t="s">
        <v>103</v>
      </c>
      <c r="F61" s="86" t="s">
        <v>41</v>
      </c>
      <c r="L61" s="107">
        <f ca="1">L81-K81</f>
        <v>371.69687500000003</v>
      </c>
      <c r="M61" s="107">
        <f t="shared" ref="M61:AI61" ca="1" si="8">M81-L81</f>
        <v>560.92437500000005</v>
      </c>
      <c r="N61" s="107">
        <f t="shared" ca="1" si="8"/>
        <v>283.84124999999995</v>
      </c>
      <c r="O61" s="107">
        <f t="shared" ca="1" si="8"/>
        <v>79.070062499999949</v>
      </c>
      <c r="P61" s="107">
        <f t="shared" ca="1" si="8"/>
        <v>-32.175433124999927</v>
      </c>
      <c r="Q61" s="107">
        <f t="shared" ca="1" si="8"/>
        <v>-34.427713443750008</v>
      </c>
      <c r="R61" s="107">
        <f t="shared" ca="1" si="8"/>
        <v>-36.837653384812484</v>
      </c>
      <c r="S61" s="107">
        <f t="shared" ca="1" si="8"/>
        <v>-39.416289121749287</v>
      </c>
      <c r="T61" s="107">
        <f t="shared" ca="1" si="8"/>
        <v>-42.175429360271892</v>
      </c>
      <c r="U61" s="107">
        <f t="shared" ca="1" si="8"/>
        <v>-45.127709415490926</v>
      </c>
      <c r="V61" s="107">
        <f t="shared" ca="1" si="8"/>
        <v>-48.28664907457528</v>
      </c>
      <c r="W61" s="107">
        <f t="shared" ca="1" si="8"/>
        <v>-51.666714509795383</v>
      </c>
      <c r="X61" s="107">
        <f t="shared" ca="1" si="8"/>
        <v>-21.492759525481119</v>
      </c>
      <c r="Y61" s="107">
        <f t="shared" ca="1" si="8"/>
        <v>19.595830120235178</v>
      </c>
      <c r="Z61" s="107">
        <f t="shared" ca="1" si="8"/>
        <v>34.865622291151567</v>
      </c>
      <c r="AA61" s="107">
        <f t="shared" ca="1" si="8"/>
        <v>40.083805226532263</v>
      </c>
      <c r="AB61" s="107">
        <f t="shared" ca="1" si="8"/>
        <v>40.952455061139517</v>
      </c>
      <c r="AC61" s="107">
        <f t="shared" ca="1" si="8"/>
        <v>44.607425026981673</v>
      </c>
      <c r="AD61" s="107">
        <f t="shared" ca="1" si="8"/>
        <v>48.57342375824237</v>
      </c>
      <c r="AE61" s="107">
        <f t="shared" ca="1" si="8"/>
        <v>52.876085929247211</v>
      </c>
      <c r="AF61" s="107">
        <f t="shared" ca="1" si="8"/>
        <v>57.543111027777286</v>
      </c>
      <c r="AG61" s="107">
        <f t="shared" ca="1" si="8"/>
        <v>62.604426819048513</v>
      </c>
      <c r="AH61" s="107">
        <f t="shared" ca="1" si="8"/>
        <v>68.0923655770614</v>
      </c>
      <c r="AI61" s="107">
        <f t="shared" ca="1" si="8"/>
        <v>74.04185406978263</v>
      </c>
    </row>
    <row r="62" spans="1:35" s="72" customFormat="1" x14ac:dyDescent="0.55000000000000004">
      <c r="A62" s="71"/>
      <c r="B62" s="88" t="s">
        <v>105</v>
      </c>
      <c r="C62" s="88"/>
      <c r="D62" s="88"/>
      <c r="E62" s="88"/>
      <c r="F62" s="89" t="s">
        <v>41</v>
      </c>
      <c r="G62" s="88"/>
      <c r="H62" s="90"/>
      <c r="I62" s="90"/>
      <c r="J62" s="90"/>
      <c r="K62" s="90"/>
      <c r="L62" s="108">
        <f ca="1">SUM(L58:L61)</f>
        <v>-558.93471789383557</v>
      </c>
      <c r="M62" s="108">
        <f t="shared" ref="M62:AI62" ca="1" si="9">SUM(M58:M61)</f>
        <v>123.10168767123298</v>
      </c>
      <c r="N62" s="108">
        <f t="shared" ca="1" si="9"/>
        <v>-41.817057898116502</v>
      </c>
      <c r="O62" s="108">
        <f t="shared" ca="1" si="9"/>
        <v>-24.073385889768844</v>
      </c>
      <c r="P62" s="108">
        <f t="shared" ca="1" si="9"/>
        <v>-155.29120911798154</v>
      </c>
      <c r="Q62" s="108">
        <f t="shared" ca="1" si="9"/>
        <v>-175.12333348997197</v>
      </c>
      <c r="R62" s="108">
        <f t="shared" ca="1" si="9"/>
        <v>-165.42217419153656</v>
      </c>
      <c r="S62" s="108">
        <f t="shared" ca="1" si="9"/>
        <v>-161.43328261195717</v>
      </c>
      <c r="T62" s="108">
        <f t="shared" ca="1" si="9"/>
        <v>-182.13086656289551</v>
      </c>
      <c r="U62" s="108">
        <f t="shared" ca="1" si="9"/>
        <v>-172.73092503087821</v>
      </c>
      <c r="V62" s="108">
        <f t="shared" ca="1" si="9"/>
        <v>-183.3154265494988</v>
      </c>
      <c r="W62" s="108">
        <f t="shared" ca="1" si="9"/>
        <v>-220.72042205374578</v>
      </c>
      <c r="X62" s="108">
        <f t="shared" ca="1" si="9"/>
        <v>-231.0305418595587</v>
      </c>
      <c r="Y62" s="108">
        <f t="shared" ca="1" si="9"/>
        <v>-246.45104013325101</v>
      </c>
      <c r="Z62" s="108">
        <f t="shared" ca="1" si="9"/>
        <v>-226.67047440817504</v>
      </c>
      <c r="AA62" s="108">
        <f t="shared" ca="1" si="9"/>
        <v>-210.76459839066968</v>
      </c>
      <c r="AB62" s="108">
        <f t="shared" ca="1" si="9"/>
        <v>-212.48463104196668</v>
      </c>
      <c r="AC62" s="108">
        <f t="shared" ca="1" si="9"/>
        <v>-234.02041265546001</v>
      </c>
      <c r="AD62" s="108">
        <f t="shared" ca="1" si="9"/>
        <v>-225.58733652532294</v>
      </c>
      <c r="AE62" s="108">
        <f t="shared" ca="1" si="9"/>
        <v>-221.52296774811907</v>
      </c>
      <c r="AF62" s="108">
        <f t="shared" ca="1" si="9"/>
        <v>-255.72140870542705</v>
      </c>
      <c r="AG62" s="108">
        <f t="shared" ca="1" si="9"/>
        <v>-246.20843888647209</v>
      </c>
      <c r="AH62" s="108">
        <f t="shared" ca="1" si="9"/>
        <v>-241.56773445555223</v>
      </c>
      <c r="AI62" s="108">
        <f t="shared" ca="1" si="9"/>
        <v>-289.99938742002081</v>
      </c>
    </row>
    <row r="64" spans="1:35" x14ac:dyDescent="0.55000000000000004">
      <c r="B64" s="72" t="s">
        <v>106</v>
      </c>
    </row>
    <row r="65" spans="1:35" x14ac:dyDescent="0.55000000000000004">
      <c r="B65" s="4" t="s">
        <v>15</v>
      </c>
      <c r="F65" s="86" t="s">
        <v>41</v>
      </c>
      <c r="L65" s="107">
        <f>K68</f>
        <v>3000</v>
      </c>
      <c r="M65" s="107">
        <f t="shared" ref="M65:AI65" ca="1" si="10">L68</f>
        <v>2441.0652821061644</v>
      </c>
      <c r="N65" s="107">
        <f t="shared" ca="1" si="10"/>
        <v>2564.1669697773973</v>
      </c>
      <c r="O65" s="107">
        <f t="shared" ca="1" si="10"/>
        <v>2522.3499118792806</v>
      </c>
      <c r="P65" s="107">
        <f t="shared" ca="1" si="10"/>
        <v>2498.2765259895118</v>
      </c>
      <c r="Q65" s="107">
        <f t="shared" ca="1" si="10"/>
        <v>2342.9853168715304</v>
      </c>
      <c r="R65" s="107">
        <f t="shared" ca="1" si="10"/>
        <v>2167.8619833815583</v>
      </c>
      <c r="S65" s="107">
        <f t="shared" ca="1" si="10"/>
        <v>2002.4398091900216</v>
      </c>
      <c r="T65" s="107">
        <f t="shared" ca="1" si="10"/>
        <v>1841.0065265780645</v>
      </c>
      <c r="U65" s="107">
        <f t="shared" ca="1" si="10"/>
        <v>1658.8756600151689</v>
      </c>
      <c r="V65" s="107">
        <f t="shared" ca="1" si="10"/>
        <v>1486.1447349842906</v>
      </c>
      <c r="W65" s="107">
        <f t="shared" ca="1" si="10"/>
        <v>4562.74939428374</v>
      </c>
      <c r="X65" s="107">
        <f t="shared" ca="1" si="10"/>
        <v>4342.028972229994</v>
      </c>
      <c r="Y65" s="107">
        <f t="shared" ca="1" si="10"/>
        <v>4110.998430370435</v>
      </c>
      <c r="Z65" s="107">
        <f t="shared" ca="1" si="10"/>
        <v>3864.5473902371841</v>
      </c>
      <c r="AA65" s="107">
        <f t="shared" ca="1" si="10"/>
        <v>3637.8769158290092</v>
      </c>
      <c r="AB65" s="107">
        <f t="shared" ca="1" si="10"/>
        <v>3427.1123174383397</v>
      </c>
      <c r="AC65" s="107">
        <f t="shared" ca="1" si="10"/>
        <v>3214.6276863963731</v>
      </c>
      <c r="AD65" s="107">
        <f t="shared" ca="1" si="10"/>
        <v>2980.6072737409131</v>
      </c>
      <c r="AE65" s="107">
        <f t="shared" ca="1" si="10"/>
        <v>2755.0199372155903</v>
      </c>
      <c r="AF65" s="107">
        <f t="shared" ca="1" si="10"/>
        <v>2533.496969467471</v>
      </c>
      <c r="AG65" s="107">
        <f t="shared" ca="1" si="10"/>
        <v>2277.7755607620438</v>
      </c>
      <c r="AH65" s="107">
        <f t="shared" ca="1" si="10"/>
        <v>2031.5671218755717</v>
      </c>
      <c r="AI65" s="107">
        <f t="shared" ca="1" si="10"/>
        <v>1789.9993874200195</v>
      </c>
    </row>
    <row r="66" spans="1:35" x14ac:dyDescent="0.55000000000000004">
      <c r="B66" s="4" t="s">
        <v>104</v>
      </c>
      <c r="F66" s="86" t="s">
        <v>41</v>
      </c>
      <c r="K66" s="126">
        <f ca="1">SUM(L66:AI66)</f>
        <v>-4759.9200858489485</v>
      </c>
      <c r="L66" s="93">
        <f ca="1">L62</f>
        <v>-558.93471789383557</v>
      </c>
      <c r="M66" s="93">
        <f t="shared" ref="M66:AI66" ca="1" si="11">M62</f>
        <v>123.10168767123298</v>
      </c>
      <c r="N66" s="93">
        <f t="shared" ca="1" si="11"/>
        <v>-41.817057898116502</v>
      </c>
      <c r="O66" s="93">
        <f t="shared" ca="1" si="11"/>
        <v>-24.073385889768844</v>
      </c>
      <c r="P66" s="93">
        <f t="shared" ca="1" si="11"/>
        <v>-155.29120911798154</v>
      </c>
      <c r="Q66" s="93">
        <f t="shared" ca="1" si="11"/>
        <v>-175.12333348997197</v>
      </c>
      <c r="R66" s="93">
        <f t="shared" ca="1" si="11"/>
        <v>-165.42217419153656</v>
      </c>
      <c r="S66" s="93">
        <f t="shared" ca="1" si="11"/>
        <v>-161.43328261195717</v>
      </c>
      <c r="T66" s="93">
        <f t="shared" ca="1" si="11"/>
        <v>-182.13086656289551</v>
      </c>
      <c r="U66" s="93">
        <f t="shared" ca="1" si="11"/>
        <v>-172.73092503087821</v>
      </c>
      <c r="V66" s="93">
        <f t="shared" ca="1" si="11"/>
        <v>-183.3154265494988</v>
      </c>
      <c r="W66" s="93">
        <f t="shared" ca="1" si="11"/>
        <v>-220.72042205374578</v>
      </c>
      <c r="X66" s="93">
        <f t="shared" ca="1" si="11"/>
        <v>-231.0305418595587</v>
      </c>
      <c r="Y66" s="93">
        <f t="shared" ca="1" si="11"/>
        <v>-246.45104013325101</v>
      </c>
      <c r="Z66" s="93">
        <f t="shared" ca="1" si="11"/>
        <v>-226.67047440817504</v>
      </c>
      <c r="AA66" s="93">
        <f t="shared" ca="1" si="11"/>
        <v>-210.76459839066968</v>
      </c>
      <c r="AB66" s="93">
        <f t="shared" ca="1" si="11"/>
        <v>-212.48463104196668</v>
      </c>
      <c r="AC66" s="93">
        <f t="shared" ca="1" si="11"/>
        <v>-234.02041265546001</v>
      </c>
      <c r="AD66" s="93">
        <f t="shared" ca="1" si="11"/>
        <v>-225.58733652532294</v>
      </c>
      <c r="AE66" s="93">
        <f t="shared" ca="1" si="11"/>
        <v>-221.52296774811907</v>
      </c>
      <c r="AF66" s="93">
        <f t="shared" ca="1" si="11"/>
        <v>-255.72140870542705</v>
      </c>
      <c r="AG66" s="93">
        <f t="shared" ca="1" si="11"/>
        <v>-246.20843888647209</v>
      </c>
      <c r="AH66" s="93">
        <f t="shared" ca="1" si="11"/>
        <v>-241.56773445555223</v>
      </c>
      <c r="AI66" s="93">
        <f t="shared" ca="1" si="11"/>
        <v>-289.99938742002081</v>
      </c>
    </row>
    <row r="67" spans="1:35" x14ac:dyDescent="0.55000000000000004">
      <c r="B67" s="4" t="s">
        <v>179</v>
      </c>
      <c r="F67" s="86" t="s">
        <v>41</v>
      </c>
      <c r="H67" s="127">
        <f ca="1">Sum!E21</f>
        <v>45626</v>
      </c>
      <c r="I67" s="128">
        <f ca="1">Sum!E28</f>
        <v>3259.9200858489485</v>
      </c>
      <c r="L67" s="107">
        <f ca="1">$I67*(L$7=$H67)*1</f>
        <v>0</v>
      </c>
      <c r="M67" s="107">
        <f t="shared" ref="M67:AI67" ca="1" si="12">$I67*(M$7=$H67)*1</f>
        <v>0</v>
      </c>
      <c r="N67" s="107">
        <f t="shared" ca="1" si="12"/>
        <v>0</v>
      </c>
      <c r="O67" s="107">
        <f t="shared" ca="1" si="12"/>
        <v>0</v>
      </c>
      <c r="P67" s="107">
        <f t="shared" ca="1" si="12"/>
        <v>0</v>
      </c>
      <c r="Q67" s="107">
        <f t="shared" ca="1" si="12"/>
        <v>0</v>
      </c>
      <c r="R67" s="107">
        <f t="shared" ca="1" si="12"/>
        <v>0</v>
      </c>
      <c r="S67" s="107">
        <f t="shared" ca="1" si="12"/>
        <v>0</v>
      </c>
      <c r="T67" s="107">
        <f t="shared" ca="1" si="12"/>
        <v>0</v>
      </c>
      <c r="U67" s="107">
        <f t="shared" ca="1" si="12"/>
        <v>0</v>
      </c>
      <c r="V67" s="107">
        <f t="shared" ca="1" si="12"/>
        <v>3259.9200858489485</v>
      </c>
      <c r="W67" s="107">
        <f t="shared" ca="1" si="12"/>
        <v>0</v>
      </c>
      <c r="X67" s="107">
        <f t="shared" ca="1" si="12"/>
        <v>0</v>
      </c>
      <c r="Y67" s="107">
        <f t="shared" ca="1" si="12"/>
        <v>0</v>
      </c>
      <c r="Z67" s="107">
        <f t="shared" ca="1" si="12"/>
        <v>0</v>
      </c>
      <c r="AA67" s="107">
        <f t="shared" ca="1" si="12"/>
        <v>0</v>
      </c>
      <c r="AB67" s="107">
        <f t="shared" ca="1" si="12"/>
        <v>0</v>
      </c>
      <c r="AC67" s="107">
        <f t="shared" ca="1" si="12"/>
        <v>0</v>
      </c>
      <c r="AD67" s="107">
        <f t="shared" ca="1" si="12"/>
        <v>0</v>
      </c>
      <c r="AE67" s="107">
        <f t="shared" ca="1" si="12"/>
        <v>0</v>
      </c>
      <c r="AF67" s="107">
        <f t="shared" ca="1" si="12"/>
        <v>0</v>
      </c>
      <c r="AG67" s="107">
        <f t="shared" ca="1" si="12"/>
        <v>0</v>
      </c>
      <c r="AH67" s="107">
        <f t="shared" ca="1" si="12"/>
        <v>0</v>
      </c>
      <c r="AI67" s="107">
        <f t="shared" ca="1" si="12"/>
        <v>0</v>
      </c>
    </row>
    <row r="68" spans="1:35" x14ac:dyDescent="0.55000000000000004">
      <c r="B68" s="88" t="s">
        <v>17</v>
      </c>
      <c r="C68" s="88"/>
      <c r="D68" s="88"/>
      <c r="E68" s="88"/>
      <c r="F68" s="89" t="s">
        <v>41</v>
      </c>
      <c r="G68" s="88"/>
      <c r="H68" s="90"/>
      <c r="I68" s="90"/>
      <c r="J68" s="90"/>
      <c r="K68" s="129">
        <v>3000</v>
      </c>
      <c r="L68" s="108">
        <f ca="1">SUM(L65:L67)</f>
        <v>2441.0652821061644</v>
      </c>
      <c r="M68" s="108">
        <f t="shared" ref="M68:AI68" ca="1" si="13">SUM(M65:M67)</f>
        <v>2564.1669697773973</v>
      </c>
      <c r="N68" s="108">
        <f t="shared" ca="1" si="13"/>
        <v>2522.3499118792806</v>
      </c>
      <c r="O68" s="108">
        <f t="shared" ca="1" si="13"/>
        <v>2498.2765259895118</v>
      </c>
      <c r="P68" s="108">
        <f t="shared" ca="1" si="13"/>
        <v>2342.9853168715304</v>
      </c>
      <c r="Q68" s="108">
        <f t="shared" ca="1" si="13"/>
        <v>2167.8619833815583</v>
      </c>
      <c r="R68" s="108">
        <f t="shared" ca="1" si="13"/>
        <v>2002.4398091900216</v>
      </c>
      <c r="S68" s="108">
        <f t="shared" ca="1" si="13"/>
        <v>1841.0065265780645</v>
      </c>
      <c r="T68" s="108">
        <f t="shared" ca="1" si="13"/>
        <v>1658.8756600151689</v>
      </c>
      <c r="U68" s="108">
        <f t="shared" ca="1" si="13"/>
        <v>1486.1447349842906</v>
      </c>
      <c r="V68" s="108">
        <f t="shared" ca="1" si="13"/>
        <v>4562.74939428374</v>
      </c>
      <c r="W68" s="108">
        <f t="shared" ca="1" si="13"/>
        <v>4342.028972229994</v>
      </c>
      <c r="X68" s="108">
        <f t="shared" ca="1" si="13"/>
        <v>4110.998430370435</v>
      </c>
      <c r="Y68" s="108">
        <f t="shared" ca="1" si="13"/>
        <v>3864.5473902371841</v>
      </c>
      <c r="Z68" s="108">
        <f t="shared" ca="1" si="13"/>
        <v>3637.8769158290092</v>
      </c>
      <c r="AA68" s="108">
        <f t="shared" ca="1" si="13"/>
        <v>3427.1123174383397</v>
      </c>
      <c r="AB68" s="108">
        <f t="shared" ca="1" si="13"/>
        <v>3214.6276863963731</v>
      </c>
      <c r="AC68" s="108">
        <f t="shared" ca="1" si="13"/>
        <v>2980.6072737409131</v>
      </c>
      <c r="AD68" s="108">
        <f t="shared" ca="1" si="13"/>
        <v>2755.0199372155903</v>
      </c>
      <c r="AE68" s="108">
        <f t="shared" ca="1" si="13"/>
        <v>2533.496969467471</v>
      </c>
      <c r="AF68" s="108">
        <f t="shared" ca="1" si="13"/>
        <v>2277.7755607620438</v>
      </c>
      <c r="AG68" s="108">
        <f t="shared" ca="1" si="13"/>
        <v>2031.5671218755717</v>
      </c>
      <c r="AH68" s="108">
        <f t="shared" ca="1" si="13"/>
        <v>1789.9993874200195</v>
      </c>
      <c r="AI68" s="108">
        <f t="shared" ca="1" si="13"/>
        <v>1499.9999999999986</v>
      </c>
    </row>
    <row r="69" spans="1:35" x14ac:dyDescent="0.55000000000000004">
      <c r="B69" s="4" t="s">
        <v>190</v>
      </c>
      <c r="F69" s="86" t="s">
        <v>41</v>
      </c>
      <c r="K69" s="130">
        <f ca="1">COUNTIF(L69:AI69,"&lt;"&amp;K68)</f>
        <v>16</v>
      </c>
      <c r="L69" s="93">
        <f ca="1">-SUM($L66:L66)</f>
        <v>558.93471789383557</v>
      </c>
      <c r="M69" s="93">
        <f ca="1">-SUM($L66:M66)</f>
        <v>435.83303022260259</v>
      </c>
      <c r="N69" s="93">
        <f ca="1">-SUM($L66:N66)</f>
        <v>477.65008812071909</v>
      </c>
      <c r="O69" s="93">
        <f ca="1">-SUM($L66:O66)</f>
        <v>501.72347401048796</v>
      </c>
      <c r="P69" s="93">
        <f ca="1">-SUM($L66:P66)</f>
        <v>657.01468312846953</v>
      </c>
      <c r="Q69" s="93">
        <f ca="1">-SUM($L66:Q66)</f>
        <v>832.1380166184415</v>
      </c>
      <c r="R69" s="93">
        <f ca="1">-SUM($L66:R66)</f>
        <v>997.56019080997805</v>
      </c>
      <c r="S69" s="93">
        <f ca="1">-SUM($L66:S66)</f>
        <v>1158.9934734219353</v>
      </c>
      <c r="T69" s="93">
        <f ca="1">-SUM($L66:T66)</f>
        <v>1341.1243399848308</v>
      </c>
      <c r="U69" s="93">
        <f ca="1">-SUM($L66:U66)</f>
        <v>1513.8552650157089</v>
      </c>
      <c r="V69" s="93">
        <f ca="1">-SUM($L66:V66)</f>
        <v>1697.1706915652078</v>
      </c>
      <c r="W69" s="93">
        <f ca="1">-SUM($L66:W66)</f>
        <v>1917.8911136189536</v>
      </c>
      <c r="X69" s="93">
        <f ca="1">-SUM($L66:X66)</f>
        <v>2148.9216554785121</v>
      </c>
      <c r="Y69" s="93">
        <f ca="1">-SUM($L66:Y66)</f>
        <v>2395.372695611763</v>
      </c>
      <c r="Z69" s="93">
        <f ca="1">-SUM($L66:Z66)</f>
        <v>2622.0431700199379</v>
      </c>
      <c r="AA69" s="93">
        <f ca="1">-SUM($L66:AA66)</f>
        <v>2832.8077684106074</v>
      </c>
      <c r="AB69" s="93">
        <f ca="1">-SUM($L66:AB66)</f>
        <v>3045.292399452574</v>
      </c>
      <c r="AC69" s="93">
        <f ca="1">-SUM($L66:AC66)</f>
        <v>3279.312812108034</v>
      </c>
      <c r="AD69" s="93">
        <f ca="1">-SUM($L66:AD66)</f>
        <v>3504.9001486333568</v>
      </c>
      <c r="AE69" s="93">
        <f ca="1">-SUM($L66:AE66)</f>
        <v>3726.4231163814757</v>
      </c>
      <c r="AF69" s="93">
        <f ca="1">-SUM($L66:AF66)</f>
        <v>3982.1445250869028</v>
      </c>
      <c r="AG69" s="93">
        <f ca="1">-SUM($L66:AG66)</f>
        <v>4228.3529639733752</v>
      </c>
      <c r="AH69" s="93">
        <f ca="1">-SUM($L66:AH66)</f>
        <v>4469.9206984289276</v>
      </c>
      <c r="AI69" s="93">
        <f ca="1">-SUM($L66:AI66)</f>
        <v>4759.9200858489485</v>
      </c>
    </row>
    <row r="70" spans="1:35" x14ac:dyDescent="0.55000000000000004">
      <c r="L70" s="93"/>
    </row>
    <row r="71" spans="1:35" x14ac:dyDescent="0.55000000000000004">
      <c r="A71" s="82" t="s">
        <v>10</v>
      </c>
      <c r="B71" s="83" t="s">
        <v>62</v>
      </c>
      <c r="C71" s="83"/>
      <c r="D71" s="83"/>
      <c r="E71" s="83"/>
      <c r="F71" s="84"/>
      <c r="G71" s="83"/>
      <c r="H71" s="85"/>
      <c r="I71" s="85"/>
      <c r="J71" s="85"/>
      <c r="K71" s="85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</row>
    <row r="72" spans="1:35" ht="3" customHeight="1" x14ac:dyDescent="0.55000000000000004"/>
    <row r="73" spans="1:35" x14ac:dyDescent="0.55000000000000004">
      <c r="B73" s="72" t="s">
        <v>107</v>
      </c>
      <c r="AI73" s="93"/>
    </row>
    <row r="74" spans="1:35" x14ac:dyDescent="0.55000000000000004">
      <c r="B74" s="4" t="s">
        <v>35</v>
      </c>
      <c r="F74" s="86" t="s">
        <v>41</v>
      </c>
      <c r="L74" s="93">
        <f ca="1">L68</f>
        <v>2441.0652821061644</v>
      </c>
      <c r="M74" s="93">
        <f t="shared" ref="M74:AI74" ca="1" si="14">M68</f>
        <v>2564.1669697773973</v>
      </c>
      <c r="N74" s="93">
        <f t="shared" ca="1" si="14"/>
        <v>2522.3499118792806</v>
      </c>
      <c r="O74" s="93">
        <f t="shared" ca="1" si="14"/>
        <v>2498.2765259895118</v>
      </c>
      <c r="P74" s="93">
        <f t="shared" ca="1" si="14"/>
        <v>2342.9853168715304</v>
      </c>
      <c r="Q74" s="93">
        <f t="shared" ca="1" si="14"/>
        <v>2167.8619833815583</v>
      </c>
      <c r="R74" s="93">
        <f t="shared" ca="1" si="14"/>
        <v>2002.4398091900216</v>
      </c>
      <c r="S74" s="93">
        <f t="shared" ca="1" si="14"/>
        <v>1841.0065265780645</v>
      </c>
      <c r="T74" s="93">
        <f t="shared" ca="1" si="14"/>
        <v>1658.8756600151689</v>
      </c>
      <c r="U74" s="93">
        <f t="shared" ca="1" si="14"/>
        <v>1486.1447349842906</v>
      </c>
      <c r="V74" s="93">
        <f t="shared" ca="1" si="14"/>
        <v>4562.74939428374</v>
      </c>
      <c r="W74" s="93">
        <f t="shared" ca="1" si="14"/>
        <v>4342.028972229994</v>
      </c>
      <c r="X74" s="93">
        <f t="shared" ca="1" si="14"/>
        <v>4110.998430370435</v>
      </c>
      <c r="Y74" s="93">
        <f t="shared" ca="1" si="14"/>
        <v>3864.5473902371841</v>
      </c>
      <c r="Z74" s="93">
        <f t="shared" ca="1" si="14"/>
        <v>3637.8769158290092</v>
      </c>
      <c r="AA74" s="93">
        <f t="shared" ca="1" si="14"/>
        <v>3427.1123174383397</v>
      </c>
      <c r="AB74" s="93">
        <f t="shared" ca="1" si="14"/>
        <v>3214.6276863963731</v>
      </c>
      <c r="AC74" s="93">
        <f t="shared" ca="1" si="14"/>
        <v>2980.6072737409131</v>
      </c>
      <c r="AD74" s="93">
        <f t="shared" ca="1" si="14"/>
        <v>2755.0199372155903</v>
      </c>
      <c r="AE74" s="93">
        <f t="shared" ca="1" si="14"/>
        <v>2533.496969467471</v>
      </c>
      <c r="AF74" s="93">
        <f t="shared" ca="1" si="14"/>
        <v>2277.7755607620438</v>
      </c>
      <c r="AG74" s="93">
        <f t="shared" ca="1" si="14"/>
        <v>2031.5671218755717</v>
      </c>
      <c r="AH74" s="93">
        <f t="shared" ca="1" si="14"/>
        <v>1789.9993874200195</v>
      </c>
      <c r="AI74" s="93">
        <f t="shared" ca="1" si="14"/>
        <v>1499.9999999999986</v>
      </c>
    </row>
    <row r="75" spans="1:35" x14ac:dyDescent="0.55000000000000004">
      <c r="B75" s="4" t="s">
        <v>65</v>
      </c>
      <c r="F75" s="86" t="s">
        <v>41</v>
      </c>
      <c r="L75" s="87">
        <f ca="1">'Calc.Mth'!L142</f>
        <v>1.5485616438356162</v>
      </c>
      <c r="M75" s="87">
        <f ca="1">'Calc.Mth'!M142</f>
        <v>3.8242739726027399</v>
      </c>
      <c r="N75" s="87">
        <f ca="1">'Calc.Mth'!N142</f>
        <v>4.8981678082191786</v>
      </c>
      <c r="O75" s="87">
        <f ca="1">'Calc.Mth'!O142</f>
        <v>5.1774138698630141</v>
      </c>
      <c r="P75" s="87">
        <f ca="1">'Calc.Mth'!P142</f>
        <v>5.0753552414383565</v>
      </c>
      <c r="Q75" s="87">
        <f ca="1">'Calc.Mth'!Q142</f>
        <v>5.0358241489212325</v>
      </c>
      <c r="R75" s="87">
        <f ca="1">'Calc.Mth'!R142</f>
        <v>5.0527467738405827</v>
      </c>
      <c r="S75" s="87">
        <f ca="1">'Calc.Mth'!S142</f>
        <v>5.1211917423300566</v>
      </c>
      <c r="T75" s="87">
        <f ca="1">'Calc.Mth'!T142</f>
        <v>5.2372149544656992</v>
      </c>
      <c r="U75" s="87">
        <f ca="1">'Calc.Mth'!U142</f>
        <v>5.3977288229249556</v>
      </c>
      <c r="V75" s="87">
        <f ca="1">'Calc.Mth'!V142</f>
        <v>5.6003923389293622</v>
      </c>
      <c r="W75" s="87">
        <f ca="1">'Calc.Mth'!W142</f>
        <v>5.8435189262941272</v>
      </c>
      <c r="X75" s="87">
        <f ca="1">'Calc.Mth'!X142</f>
        <v>5.3853830678723051</v>
      </c>
      <c r="Y75" s="87">
        <f ca="1">'Calc.Mth'!Y142</f>
        <v>4.5034907460284002</v>
      </c>
      <c r="Z75" s="87">
        <f ca="1">'Calc.Mth'!Z142</f>
        <v>4.0742898338569953</v>
      </c>
      <c r="AA75" s="87">
        <f ca="1">'Calc.Mth'!AA142</f>
        <v>4.0031430300268465</v>
      </c>
      <c r="AB75" s="87">
        <f ca="1">'Calc.Mth'!AB142</f>
        <v>4.1421742069092939</v>
      </c>
      <c r="AC75" s="87">
        <f ca="1">'Calc.Mth'!AC142</f>
        <v>4.2955893318810858</v>
      </c>
      <c r="AD75" s="87">
        <f ca="1">'Calc.Mth'!AD142</f>
        <v>4.4625406572820641</v>
      </c>
      <c r="AE75" s="87">
        <f ca="1">'Calc.Mth'!AE142</f>
        <v>4.6423183065779066</v>
      </c>
      <c r="AF75" s="87">
        <f ca="1">'Calc.Mth'!AF142</f>
        <v>4.8343246747096869</v>
      </c>
      <c r="AG75" s="87">
        <f ca="1">'Calc.Mth'!AG142</f>
        <v>5.0380519272596063</v>
      </c>
      <c r="AH75" s="87">
        <f ca="1">'Calc.Mth'!AH142</f>
        <v>5.2530620539550714</v>
      </c>
      <c r="AI75" s="87">
        <f ca="1">'Calc.Mth'!AI142</f>
        <v>5.4789690061847676</v>
      </c>
    </row>
    <row r="76" spans="1:35" x14ac:dyDescent="0.55000000000000004">
      <c r="B76" s="4" t="s">
        <v>108</v>
      </c>
      <c r="F76" s="86" t="s">
        <v>41</v>
      </c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</row>
    <row r="77" spans="1:35" x14ac:dyDescent="0.55000000000000004">
      <c r="B77" s="88" t="s">
        <v>9</v>
      </c>
      <c r="C77" s="88"/>
      <c r="D77" s="88"/>
      <c r="E77" s="88"/>
      <c r="F77" s="89" t="s">
        <v>41</v>
      </c>
      <c r="G77" s="88"/>
      <c r="H77" s="90"/>
      <c r="I77" s="90"/>
      <c r="J77" s="90"/>
      <c r="K77" s="90"/>
      <c r="L77" s="91">
        <f ca="1">SUM(L74:L76)</f>
        <v>2442.6138437499999</v>
      </c>
      <c r="M77" s="91">
        <f t="shared" ref="M77:AI77" ca="1" si="15">SUM(M74:M76)</f>
        <v>2567.9912437500002</v>
      </c>
      <c r="N77" s="91">
        <f t="shared" ca="1" si="15"/>
        <v>2527.2480796874997</v>
      </c>
      <c r="O77" s="91">
        <f t="shared" ca="1" si="15"/>
        <v>2503.4539398593747</v>
      </c>
      <c r="P77" s="91">
        <f t="shared" ca="1" si="15"/>
        <v>2348.0606721129689</v>
      </c>
      <c r="Q77" s="91">
        <f t="shared" ca="1" si="15"/>
        <v>2172.8978075304794</v>
      </c>
      <c r="R77" s="91">
        <f t="shared" ca="1" si="15"/>
        <v>2007.4925559638623</v>
      </c>
      <c r="S77" s="91">
        <f t="shared" ca="1" si="15"/>
        <v>1846.1277183203945</v>
      </c>
      <c r="T77" s="91">
        <f t="shared" ca="1" si="15"/>
        <v>1664.1128749696347</v>
      </c>
      <c r="U77" s="91">
        <f t="shared" ca="1" si="15"/>
        <v>1491.5424638072157</v>
      </c>
      <c r="V77" s="91">
        <f t="shared" ca="1" si="15"/>
        <v>4568.3497866226689</v>
      </c>
      <c r="W77" s="91">
        <f t="shared" ca="1" si="15"/>
        <v>4347.8724911562886</v>
      </c>
      <c r="X77" s="91">
        <f t="shared" ca="1" si="15"/>
        <v>4116.3838134383077</v>
      </c>
      <c r="Y77" s="91">
        <f t="shared" ca="1" si="15"/>
        <v>3869.0508809832127</v>
      </c>
      <c r="Z77" s="91">
        <f t="shared" ca="1" si="15"/>
        <v>3641.9512056628664</v>
      </c>
      <c r="AA77" s="91">
        <f t="shared" ca="1" si="15"/>
        <v>3431.1154604683666</v>
      </c>
      <c r="AB77" s="91">
        <f t="shared" ca="1" si="15"/>
        <v>3218.7698606032823</v>
      </c>
      <c r="AC77" s="91">
        <f t="shared" ca="1" si="15"/>
        <v>2984.9028630727944</v>
      </c>
      <c r="AD77" s="91">
        <f t="shared" ca="1" si="15"/>
        <v>2759.4824778728726</v>
      </c>
      <c r="AE77" s="91">
        <f t="shared" ca="1" si="15"/>
        <v>2538.1392877740491</v>
      </c>
      <c r="AF77" s="91">
        <f t="shared" ca="1" si="15"/>
        <v>2282.6098854367533</v>
      </c>
      <c r="AG77" s="91">
        <f t="shared" ca="1" si="15"/>
        <v>2036.6051738028314</v>
      </c>
      <c r="AH77" s="91">
        <f t="shared" ca="1" si="15"/>
        <v>1795.2524494739746</v>
      </c>
      <c r="AI77" s="91">
        <f t="shared" ca="1" si="15"/>
        <v>1505.4789690061834</v>
      </c>
    </row>
    <row r="79" spans="1:35" x14ac:dyDescent="0.55000000000000004">
      <c r="B79" s="72" t="s">
        <v>114</v>
      </c>
    </row>
    <row r="80" spans="1:35" x14ac:dyDescent="0.55000000000000004">
      <c r="B80" s="4" t="s">
        <v>66</v>
      </c>
      <c r="F80" s="86" t="s">
        <v>41</v>
      </c>
      <c r="L80" s="87">
        <f ca="1">'Calc.Mth'!L143</f>
        <v>42.391874999999999</v>
      </c>
      <c r="M80" s="87">
        <f ca="1">'Calc.Mth'!M143</f>
        <v>104.68950000000001</v>
      </c>
      <c r="N80" s="87">
        <f ca="1">'Calc.Mth'!N143</f>
        <v>134.08734375</v>
      </c>
      <c r="O80" s="87">
        <f ca="1">'Calc.Mth'!O143</f>
        <v>141.73170468750001</v>
      </c>
      <c r="P80" s="87">
        <f ca="1">'Calc.Mth'!P143</f>
        <v>138.93784973437502</v>
      </c>
      <c r="Q80" s="87">
        <f ca="1">'Calc.Mth'!Q143</f>
        <v>137.85568607671877</v>
      </c>
      <c r="R80" s="87">
        <f ca="1">'Calc.Mth'!R143</f>
        <v>138.31894293388595</v>
      </c>
      <c r="S80" s="87">
        <f ca="1">'Calc.Mth'!S143</f>
        <v>140.19262394628529</v>
      </c>
      <c r="T80" s="87">
        <f ca="1">'Calc.Mth'!T143</f>
        <v>143.36875937849851</v>
      </c>
      <c r="U80" s="87">
        <f ca="1">'Calc.Mth'!U143</f>
        <v>147.7628265275707</v>
      </c>
      <c r="V80" s="87">
        <f ca="1">'Calc.Mth'!V143</f>
        <v>153.3107402781913</v>
      </c>
      <c r="W80" s="87">
        <f ca="1">'Calc.Mth'!W143</f>
        <v>159.96633060730176</v>
      </c>
      <c r="X80" s="87">
        <f ca="1">'Calc.Mth'!X143</f>
        <v>147.42486148300435</v>
      </c>
      <c r="Y80" s="87">
        <f ca="1">'Calc.Mth'!Y143</f>
        <v>123.28305917252747</v>
      </c>
      <c r="Z80" s="87">
        <f ca="1">'Calc.Mth'!Z143</f>
        <v>111.53368420183524</v>
      </c>
      <c r="AA80" s="87">
        <f ca="1">'Calc.Mth'!AA143</f>
        <v>109.58604044698494</v>
      </c>
      <c r="AB80" s="87">
        <f ca="1">'Calc.Mth'!AB143</f>
        <v>113.39201891414194</v>
      </c>
      <c r="AC80" s="87">
        <f ca="1">'Calc.Mth'!AC143</f>
        <v>117.59175796024472</v>
      </c>
      <c r="AD80" s="87">
        <f ca="1">'Calc.Mth'!AD143</f>
        <v>122.1620504930965</v>
      </c>
      <c r="AE80" s="87">
        <f ca="1">'Calc.Mth'!AE143</f>
        <v>127.08346364257018</v>
      </c>
      <c r="AF80" s="87">
        <f ca="1">'Calc.Mth'!AF143</f>
        <v>132.33963797017768</v>
      </c>
      <c r="AG80" s="87">
        <f ca="1">'Calc.Mth'!AG143</f>
        <v>137.91667150873172</v>
      </c>
      <c r="AH80" s="87">
        <f ca="1">'Calc.Mth'!AH143</f>
        <v>143.80257372702008</v>
      </c>
      <c r="AI80" s="87">
        <f ca="1">'Calc.Mth'!AI143</f>
        <v>149.98677654430799</v>
      </c>
    </row>
    <row r="81" spans="1:35" x14ac:dyDescent="0.55000000000000004">
      <c r="B81" s="4" t="s">
        <v>110</v>
      </c>
      <c r="F81" s="86" t="s">
        <v>41</v>
      </c>
      <c r="L81" s="87">
        <f ca="1">'Calc.Mth'!L152</f>
        <v>371.69687500000003</v>
      </c>
      <c r="M81" s="87">
        <f ca="1">'Calc.Mth'!M152</f>
        <v>932.62125000000015</v>
      </c>
      <c r="N81" s="87">
        <f ca="1">'Calc.Mth'!N152</f>
        <v>1216.4625000000001</v>
      </c>
      <c r="O81" s="87">
        <f ca="1">'Calc.Mth'!O152</f>
        <v>1295.5325625</v>
      </c>
      <c r="P81" s="87">
        <f ca="1">'Calc.Mth'!P152</f>
        <v>1263.3571293750001</v>
      </c>
      <c r="Q81" s="87">
        <f ca="1">'Calc.Mth'!Q152</f>
        <v>1228.9294159312501</v>
      </c>
      <c r="R81" s="87">
        <f ca="1">'Calc.Mth'!R152</f>
        <v>1192.0917625464376</v>
      </c>
      <c r="S81" s="87">
        <f ca="1">'Calc.Mth'!S152</f>
        <v>1152.6754734246883</v>
      </c>
      <c r="T81" s="87">
        <f ca="1">'Calc.Mth'!T152</f>
        <v>1110.5000440644164</v>
      </c>
      <c r="U81" s="87">
        <f ca="1">'Calc.Mth'!U152</f>
        <v>1065.3723346489255</v>
      </c>
      <c r="V81" s="87">
        <f ca="1">'Calc.Mth'!V152</f>
        <v>1017.0856855743502</v>
      </c>
      <c r="W81" s="87">
        <f ca="1">'Calc.Mth'!W152</f>
        <v>965.41897106455485</v>
      </c>
      <c r="X81" s="87">
        <f ca="1">'Calc.Mth'!X152</f>
        <v>943.92621153907373</v>
      </c>
      <c r="Y81" s="87">
        <f ca="1">'Calc.Mth'!Y152</f>
        <v>963.52204165930891</v>
      </c>
      <c r="Z81" s="87">
        <f ca="1">'Calc.Mth'!Z152</f>
        <v>998.38766395046048</v>
      </c>
      <c r="AA81" s="87">
        <f ca="1">'Calc.Mth'!AA152</f>
        <v>1038.4714691769927</v>
      </c>
      <c r="AB81" s="87">
        <f ca="1">'Calc.Mth'!AB152</f>
        <v>1079.4239242381323</v>
      </c>
      <c r="AC81" s="87">
        <f ca="1">'Calc.Mth'!AC152</f>
        <v>1124.0313492651139</v>
      </c>
      <c r="AD81" s="87">
        <f ca="1">'Calc.Mth'!AD152</f>
        <v>1172.6047730233563</v>
      </c>
      <c r="AE81" s="87">
        <f ca="1">'Calc.Mth'!AE152</f>
        <v>1225.4808589526035</v>
      </c>
      <c r="AF81" s="87">
        <f ca="1">'Calc.Mth'!AF152</f>
        <v>1283.0239699803808</v>
      </c>
      <c r="AG81" s="87">
        <f ca="1">'Calc.Mth'!AG152</f>
        <v>1345.6283967994293</v>
      </c>
      <c r="AH81" s="87">
        <f ca="1">'Calc.Mth'!AH152</f>
        <v>1413.7207623764907</v>
      </c>
      <c r="AI81" s="87">
        <f ca="1">'Calc.Mth'!AI152</f>
        <v>1487.7626164462733</v>
      </c>
    </row>
    <row r="82" spans="1:35" x14ac:dyDescent="0.55000000000000004">
      <c r="B82" s="4" t="s">
        <v>67</v>
      </c>
      <c r="F82" s="86" t="s">
        <v>41</v>
      </c>
      <c r="L82" s="87">
        <f ca="1">'Calc.Mth'!L144</f>
        <v>67.826999999999984</v>
      </c>
      <c r="M82" s="87">
        <f ca="1">'Calc.Mth'!M144</f>
        <v>167.50319999999999</v>
      </c>
      <c r="N82" s="87">
        <f ca="1">'Calc.Mth'!N144</f>
        <v>209.17625624999999</v>
      </c>
      <c r="O82" s="87">
        <f ca="1">'Calc.Mth'!O144</f>
        <v>221.1014593125</v>
      </c>
      <c r="P82" s="87">
        <f ca="1">'Calc.Mth'!P144</f>
        <v>216.743045585625</v>
      </c>
      <c r="Q82" s="87">
        <f ca="1">'Calc.Mth'!Q144</f>
        <v>209.54064283661251</v>
      </c>
      <c r="R82" s="87">
        <f ca="1">'Calc.Mth'!R144</f>
        <v>210.24479325950665</v>
      </c>
      <c r="S82" s="87">
        <f ca="1">'Calc.Mth'!S144</f>
        <v>213.09278839835363</v>
      </c>
      <c r="T82" s="87">
        <f ca="1">'Calc.Mth'!T144</f>
        <v>212.18576388017777</v>
      </c>
      <c r="U82" s="87">
        <f ca="1">'Calc.Mth'!U144</f>
        <v>218.6889832608046</v>
      </c>
      <c r="V82" s="87">
        <f ca="1">'Calc.Mth'!V144</f>
        <v>226.89989561172311</v>
      </c>
      <c r="W82" s="87">
        <f ca="1">'Calc.Mth'!W144</f>
        <v>230.35151607451448</v>
      </c>
      <c r="X82" s="87">
        <f ca="1">'Calc.Mth'!X144</f>
        <v>212.29180053552622</v>
      </c>
      <c r="Y82" s="87">
        <f ca="1">'Calc.Mth'!Y144</f>
        <v>177.52760520843952</v>
      </c>
      <c r="Z82" s="87">
        <f ca="1">'Calc.Mth'!Z144</f>
        <v>156.14715788256933</v>
      </c>
      <c r="AA82" s="87">
        <f ca="1">'Calc.Mth'!AA144</f>
        <v>153.42045662577888</v>
      </c>
      <c r="AB82" s="87">
        <f ca="1">'Calc.Mth'!AB144</f>
        <v>158.74882647979868</v>
      </c>
      <c r="AC82" s="87">
        <f ca="1">'Calc.Mth'!AC144</f>
        <v>159.9247908259328</v>
      </c>
      <c r="AD82" s="87">
        <f ca="1">'Calc.Mth'!AD144</f>
        <v>166.1403886706112</v>
      </c>
      <c r="AE82" s="87">
        <f ca="1">'Calc.Mth'!AE144</f>
        <v>172.83351055389542</v>
      </c>
      <c r="AF82" s="87">
        <f ca="1">'Calc.Mth'!AF144</f>
        <v>174.6883221206345</v>
      </c>
      <c r="AG82" s="87">
        <f ca="1">'Calc.Mth'!AG144</f>
        <v>182.05000639152584</v>
      </c>
      <c r="AH82" s="87">
        <f ca="1">'Calc.Mth'!AH144</f>
        <v>189.81939731966648</v>
      </c>
      <c r="AI82" s="87">
        <f ca="1">'Calc.Mth'!AI144</f>
        <v>191.98307397671419</v>
      </c>
    </row>
    <row r="83" spans="1:35" x14ac:dyDescent="0.55000000000000004">
      <c r="B83" s="88" t="s">
        <v>9</v>
      </c>
      <c r="C83" s="88"/>
      <c r="D83" s="88"/>
      <c r="E83" s="88"/>
      <c r="F83" s="89" t="s">
        <v>41</v>
      </c>
      <c r="G83" s="88"/>
      <c r="H83" s="90"/>
      <c r="I83" s="90"/>
      <c r="J83" s="90"/>
      <c r="K83" s="90"/>
      <c r="L83" s="91">
        <f ca="1">SUM(L80:L82)</f>
        <v>481.91575</v>
      </c>
      <c r="M83" s="91">
        <f t="shared" ref="M83:AI83" ca="1" si="16">SUM(M80:M82)</f>
        <v>1204.8139500000002</v>
      </c>
      <c r="N83" s="91">
        <f t="shared" ca="1" si="16"/>
        <v>1559.7261000000001</v>
      </c>
      <c r="O83" s="91">
        <f t="shared" ca="1" si="16"/>
        <v>1658.3657265000002</v>
      </c>
      <c r="P83" s="91">
        <f t="shared" ca="1" si="16"/>
        <v>1619.0380246950001</v>
      </c>
      <c r="Q83" s="91">
        <f t="shared" ca="1" si="16"/>
        <v>1576.3257448445813</v>
      </c>
      <c r="R83" s="91">
        <f t="shared" ca="1" si="16"/>
        <v>1540.6554987398301</v>
      </c>
      <c r="S83" s="91">
        <f t="shared" ca="1" si="16"/>
        <v>1505.9608857693272</v>
      </c>
      <c r="T83" s="91">
        <f t="shared" ca="1" si="16"/>
        <v>1466.0545673230927</v>
      </c>
      <c r="U83" s="91">
        <f t="shared" ca="1" si="16"/>
        <v>1431.8241444373009</v>
      </c>
      <c r="V83" s="91">
        <f t="shared" ca="1" si="16"/>
        <v>1397.2963214642648</v>
      </c>
      <c r="W83" s="91">
        <f t="shared" ca="1" si="16"/>
        <v>1355.7368177463711</v>
      </c>
      <c r="X83" s="91">
        <f t="shared" ca="1" si="16"/>
        <v>1303.6428735576042</v>
      </c>
      <c r="Y83" s="91">
        <f t="shared" ca="1" si="16"/>
        <v>1264.332706040276</v>
      </c>
      <c r="Z83" s="91">
        <f t="shared" ca="1" si="16"/>
        <v>1266.0685060348651</v>
      </c>
      <c r="AA83" s="91">
        <f t="shared" ca="1" si="16"/>
        <v>1301.4779662497565</v>
      </c>
      <c r="AB83" s="91">
        <f t="shared" ca="1" si="16"/>
        <v>1351.564769632073</v>
      </c>
      <c r="AC83" s="91">
        <f t="shared" ca="1" si="16"/>
        <v>1401.5478980512914</v>
      </c>
      <c r="AD83" s="91">
        <f t="shared" ca="1" si="16"/>
        <v>1460.907212187064</v>
      </c>
      <c r="AE83" s="91">
        <f t="shared" ca="1" si="16"/>
        <v>1525.3978331490691</v>
      </c>
      <c r="AF83" s="91">
        <f t="shared" ca="1" si="16"/>
        <v>1590.0519300711928</v>
      </c>
      <c r="AG83" s="91">
        <f t="shared" ca="1" si="16"/>
        <v>1665.5950746996868</v>
      </c>
      <c r="AH83" s="91">
        <f t="shared" ca="1" si="16"/>
        <v>1747.3427334231772</v>
      </c>
      <c r="AI83" s="91">
        <f t="shared" ca="1" si="16"/>
        <v>1829.7324669672955</v>
      </c>
    </row>
    <row r="85" spans="1:35" s="72" customFormat="1" x14ac:dyDescent="0.55000000000000004">
      <c r="A85" s="71"/>
      <c r="B85" s="88" t="s">
        <v>116</v>
      </c>
      <c r="C85" s="88"/>
      <c r="D85" s="88"/>
      <c r="E85" s="88"/>
      <c r="F85" s="89" t="s">
        <v>41</v>
      </c>
      <c r="G85" s="88"/>
      <c r="H85" s="90"/>
      <c r="I85" s="90"/>
      <c r="J85" s="90"/>
      <c r="K85" s="90"/>
      <c r="L85" s="91">
        <f ca="1">SUM(L77,-L83)</f>
        <v>1960.6980937499998</v>
      </c>
      <c r="M85" s="91">
        <f t="shared" ref="M85:AI85" ca="1" si="17">SUM(M77,-M83)</f>
        <v>1363.17729375</v>
      </c>
      <c r="N85" s="91">
        <f t="shared" ca="1" si="17"/>
        <v>967.52197968749965</v>
      </c>
      <c r="O85" s="91">
        <f t="shared" ca="1" si="17"/>
        <v>845.08821335937455</v>
      </c>
      <c r="P85" s="91">
        <f t="shared" ca="1" si="17"/>
        <v>729.02264741796876</v>
      </c>
      <c r="Q85" s="91">
        <f t="shared" ca="1" si="17"/>
        <v>596.57206268589812</v>
      </c>
      <c r="R85" s="91">
        <f t="shared" ca="1" si="17"/>
        <v>466.83705722403215</v>
      </c>
      <c r="S85" s="91">
        <f t="shared" ca="1" si="17"/>
        <v>340.16683255106727</v>
      </c>
      <c r="T85" s="91">
        <f t="shared" ca="1" si="17"/>
        <v>198.05830764654206</v>
      </c>
      <c r="U85" s="91">
        <f t="shared" ca="1" si="17"/>
        <v>59.718319369914752</v>
      </c>
      <c r="V85" s="91">
        <f t="shared" ca="1" si="17"/>
        <v>3171.0534651584039</v>
      </c>
      <c r="W85" s="91">
        <f t="shared" ca="1" si="17"/>
        <v>2992.1356734099172</v>
      </c>
      <c r="X85" s="91">
        <f t="shared" ca="1" si="17"/>
        <v>2812.7409398807035</v>
      </c>
      <c r="Y85" s="91">
        <f t="shared" ca="1" si="17"/>
        <v>2604.7181749429365</v>
      </c>
      <c r="Z85" s="91">
        <f t="shared" ca="1" si="17"/>
        <v>2375.8826996280013</v>
      </c>
      <c r="AA85" s="91">
        <f t="shared" ca="1" si="17"/>
        <v>2129.6374942186103</v>
      </c>
      <c r="AB85" s="91">
        <f t="shared" ca="1" si="17"/>
        <v>1867.2050909712093</v>
      </c>
      <c r="AC85" s="91">
        <f t="shared" ca="1" si="17"/>
        <v>1583.3549650215029</v>
      </c>
      <c r="AD85" s="91">
        <f t="shared" ca="1" si="17"/>
        <v>1298.5752656858085</v>
      </c>
      <c r="AE85" s="91">
        <f t="shared" ca="1" si="17"/>
        <v>1012.74145462498</v>
      </c>
      <c r="AF85" s="91">
        <f t="shared" ca="1" si="17"/>
        <v>692.55795536556047</v>
      </c>
      <c r="AG85" s="91">
        <f t="shared" ca="1" si="17"/>
        <v>371.01009910314451</v>
      </c>
      <c r="AH85" s="91">
        <f t="shared" ca="1" si="17"/>
        <v>47.909716050797442</v>
      </c>
      <c r="AI85" s="91">
        <f t="shared" ca="1" si="17"/>
        <v>-324.25349796111209</v>
      </c>
    </row>
    <row r="87" spans="1:35" x14ac:dyDescent="0.55000000000000004">
      <c r="B87" s="72" t="s">
        <v>115</v>
      </c>
    </row>
    <row r="88" spans="1:35" x14ac:dyDescent="0.55000000000000004">
      <c r="B88" s="4" t="s">
        <v>111</v>
      </c>
      <c r="F88" s="86" t="s">
        <v>41</v>
      </c>
      <c r="L88" s="93">
        <f>K68</f>
        <v>3000</v>
      </c>
      <c r="M88" s="93">
        <f ca="1">L88+M67</f>
        <v>3000</v>
      </c>
      <c r="N88" s="93">
        <f t="shared" ref="N88:AI88" ca="1" si="18">M88+N67</f>
        <v>3000</v>
      </c>
      <c r="O88" s="93">
        <f t="shared" ca="1" si="18"/>
        <v>3000</v>
      </c>
      <c r="P88" s="93">
        <f t="shared" ca="1" si="18"/>
        <v>3000</v>
      </c>
      <c r="Q88" s="93">
        <f t="shared" ca="1" si="18"/>
        <v>3000</v>
      </c>
      <c r="R88" s="93">
        <f t="shared" ca="1" si="18"/>
        <v>3000</v>
      </c>
      <c r="S88" s="93">
        <f t="shared" ca="1" si="18"/>
        <v>3000</v>
      </c>
      <c r="T88" s="93">
        <f t="shared" ca="1" si="18"/>
        <v>3000</v>
      </c>
      <c r="U88" s="93">
        <f t="shared" ca="1" si="18"/>
        <v>3000</v>
      </c>
      <c r="V88" s="93">
        <f t="shared" ca="1" si="18"/>
        <v>6259.9200858489485</v>
      </c>
      <c r="W88" s="93">
        <f t="shared" ca="1" si="18"/>
        <v>6259.9200858489485</v>
      </c>
      <c r="X88" s="93">
        <f t="shared" ca="1" si="18"/>
        <v>6259.9200858489485</v>
      </c>
      <c r="Y88" s="93">
        <f t="shared" ca="1" si="18"/>
        <v>6259.9200858489485</v>
      </c>
      <c r="Z88" s="93">
        <f t="shared" ca="1" si="18"/>
        <v>6259.9200858489485</v>
      </c>
      <c r="AA88" s="93">
        <f t="shared" ca="1" si="18"/>
        <v>6259.9200858489485</v>
      </c>
      <c r="AB88" s="93">
        <f t="shared" ca="1" si="18"/>
        <v>6259.9200858489485</v>
      </c>
      <c r="AC88" s="93">
        <f t="shared" ca="1" si="18"/>
        <v>6259.9200858489485</v>
      </c>
      <c r="AD88" s="93">
        <f t="shared" ca="1" si="18"/>
        <v>6259.9200858489485</v>
      </c>
      <c r="AE88" s="93">
        <f t="shared" ca="1" si="18"/>
        <v>6259.9200858489485</v>
      </c>
      <c r="AF88" s="93">
        <f t="shared" ca="1" si="18"/>
        <v>6259.9200858489485</v>
      </c>
      <c r="AG88" s="93">
        <f t="shared" ca="1" si="18"/>
        <v>6259.9200858489485</v>
      </c>
      <c r="AH88" s="93">
        <f t="shared" ca="1" si="18"/>
        <v>6259.9200858489485</v>
      </c>
      <c r="AI88" s="93">
        <f t="shared" ca="1" si="18"/>
        <v>6259.9200858489485</v>
      </c>
    </row>
    <row r="89" spans="1:35" x14ac:dyDescent="0.55000000000000004">
      <c r="B89" s="4" t="s">
        <v>112</v>
      </c>
      <c r="F89" s="86" t="s">
        <v>41</v>
      </c>
      <c r="L89" s="93">
        <f t="shared" ref="L89:AI89" ca="1" si="19">L58+K89</f>
        <v>-1039.30190625</v>
      </c>
      <c r="M89" s="93">
        <f t="shared" ca="1" si="19"/>
        <v>-1636.82270625</v>
      </c>
      <c r="N89" s="93">
        <f t="shared" ca="1" si="19"/>
        <v>-2032.4780203125001</v>
      </c>
      <c r="O89" s="93">
        <f t="shared" ca="1" si="19"/>
        <v>-2154.911786640625</v>
      </c>
      <c r="P89" s="93">
        <f t="shared" ca="1" si="19"/>
        <v>-2270.9773525820315</v>
      </c>
      <c r="Q89" s="93">
        <f t="shared" ca="1" si="19"/>
        <v>-2403.4279373141017</v>
      </c>
      <c r="R89" s="93">
        <f t="shared" ca="1" si="19"/>
        <v>-2533.1629427759676</v>
      </c>
      <c r="S89" s="93">
        <f t="shared" ca="1" si="19"/>
        <v>-2659.8331674489323</v>
      </c>
      <c r="T89" s="93">
        <f t="shared" ca="1" si="19"/>
        <v>-2801.9416923534577</v>
      </c>
      <c r="U89" s="93">
        <f t="shared" ca="1" si="19"/>
        <v>-2940.2816806300848</v>
      </c>
      <c r="V89" s="93">
        <f t="shared" ca="1" si="19"/>
        <v>-3088.8666206905432</v>
      </c>
      <c r="W89" s="93">
        <f t="shared" ca="1" si="19"/>
        <v>-3267.7844124390308</v>
      </c>
      <c r="X89" s="93">
        <f t="shared" ca="1" si="19"/>
        <v>-3447.1791459682445</v>
      </c>
      <c r="Y89" s="93">
        <f t="shared" ca="1" si="19"/>
        <v>-3655.2019109060111</v>
      </c>
      <c r="Z89" s="93">
        <f t="shared" ca="1" si="19"/>
        <v>-3884.0373862209467</v>
      </c>
      <c r="AA89" s="93">
        <f t="shared" ca="1" si="19"/>
        <v>-4130.2825916303382</v>
      </c>
      <c r="AB89" s="93">
        <f t="shared" ca="1" si="19"/>
        <v>-4392.7149948777387</v>
      </c>
      <c r="AC89" s="93">
        <f t="shared" ca="1" si="19"/>
        <v>-4676.5651208274458</v>
      </c>
      <c r="AD89" s="93">
        <f t="shared" ca="1" si="19"/>
        <v>-4961.34482016314</v>
      </c>
      <c r="AE89" s="93">
        <f t="shared" ca="1" si="19"/>
        <v>-5247.1786312239683</v>
      </c>
      <c r="AF89" s="93">
        <f t="shared" ca="1" si="19"/>
        <v>-5567.3621304833878</v>
      </c>
      <c r="AG89" s="93">
        <f t="shared" ca="1" si="19"/>
        <v>-5888.9099867458035</v>
      </c>
      <c r="AH89" s="93">
        <f t="shared" ca="1" si="19"/>
        <v>-6212.0103697981504</v>
      </c>
      <c r="AI89" s="93">
        <f t="shared" ca="1" si="19"/>
        <v>-6584.1735838100594</v>
      </c>
    </row>
    <row r="90" spans="1:35" x14ac:dyDescent="0.55000000000000004">
      <c r="B90" s="88" t="s">
        <v>9</v>
      </c>
      <c r="C90" s="88"/>
      <c r="D90" s="88"/>
      <c r="E90" s="88"/>
      <c r="F90" s="89" t="s">
        <v>41</v>
      </c>
      <c r="G90" s="88"/>
      <c r="H90" s="90"/>
      <c r="I90" s="90"/>
      <c r="J90" s="90"/>
      <c r="K90" s="90"/>
      <c r="L90" s="91">
        <f ca="1">SUM(L88:L89)</f>
        <v>1960.69809375</v>
      </c>
      <c r="M90" s="91">
        <f t="shared" ref="M90:AI90" ca="1" si="20">SUM(M88:M89)</f>
        <v>1363.17729375</v>
      </c>
      <c r="N90" s="91">
        <f t="shared" ca="1" si="20"/>
        <v>967.52197968749988</v>
      </c>
      <c r="O90" s="91">
        <f t="shared" ca="1" si="20"/>
        <v>845.088213359375</v>
      </c>
      <c r="P90" s="91">
        <f t="shared" ca="1" si="20"/>
        <v>729.02264741796853</v>
      </c>
      <c r="Q90" s="91">
        <f t="shared" ca="1" si="20"/>
        <v>596.57206268589835</v>
      </c>
      <c r="R90" s="91">
        <f t="shared" ca="1" si="20"/>
        <v>466.83705722403238</v>
      </c>
      <c r="S90" s="91">
        <f t="shared" ca="1" si="20"/>
        <v>340.16683255106773</v>
      </c>
      <c r="T90" s="91">
        <f t="shared" ca="1" si="20"/>
        <v>198.05830764654229</v>
      </c>
      <c r="U90" s="91">
        <f t="shared" ca="1" si="20"/>
        <v>59.718319369915207</v>
      </c>
      <c r="V90" s="91">
        <f t="shared" ca="1" si="20"/>
        <v>3171.0534651584053</v>
      </c>
      <c r="W90" s="91">
        <f t="shared" ca="1" si="20"/>
        <v>2992.1356734099177</v>
      </c>
      <c r="X90" s="91">
        <f t="shared" ca="1" si="20"/>
        <v>2812.740939880704</v>
      </c>
      <c r="Y90" s="91">
        <f t="shared" ca="1" si="20"/>
        <v>2604.7181749429374</v>
      </c>
      <c r="Z90" s="91">
        <f t="shared" ca="1" si="20"/>
        <v>2375.8826996280018</v>
      </c>
      <c r="AA90" s="91">
        <f t="shared" ca="1" si="20"/>
        <v>2129.6374942186103</v>
      </c>
      <c r="AB90" s="91">
        <f t="shared" ca="1" si="20"/>
        <v>1867.2050909712098</v>
      </c>
      <c r="AC90" s="91">
        <f t="shared" ca="1" si="20"/>
        <v>1583.3549650215027</v>
      </c>
      <c r="AD90" s="91">
        <f t="shared" ca="1" si="20"/>
        <v>1298.5752656858085</v>
      </c>
      <c r="AE90" s="91">
        <f t="shared" ca="1" si="20"/>
        <v>1012.7414546249802</v>
      </c>
      <c r="AF90" s="91">
        <f t="shared" ca="1" si="20"/>
        <v>692.5579553655607</v>
      </c>
      <c r="AG90" s="91">
        <f t="shared" ca="1" si="20"/>
        <v>371.01009910314497</v>
      </c>
      <c r="AH90" s="91">
        <f t="shared" ca="1" si="20"/>
        <v>47.909716050798124</v>
      </c>
      <c r="AI90" s="91">
        <f t="shared" ca="1" si="20"/>
        <v>-324.25349796111095</v>
      </c>
    </row>
    <row r="91" spans="1:35" s="9" customFormat="1" x14ac:dyDescent="0.55000000000000004">
      <c r="A91" s="111"/>
      <c r="B91" s="9" t="s">
        <v>113</v>
      </c>
      <c r="F91" s="86" t="s">
        <v>41</v>
      </c>
      <c r="H91" s="112"/>
      <c r="I91" s="112"/>
      <c r="J91" s="112"/>
      <c r="K91" s="113">
        <f ca="1">SUM(L91:AI91)</f>
        <v>0</v>
      </c>
      <c r="L91" s="114">
        <f ca="1">ROUND(L90-L85,5)</f>
        <v>0</v>
      </c>
      <c r="M91" s="114">
        <f t="shared" ref="M91:AI91" ca="1" si="21">ROUND(M90-M85,5)</f>
        <v>0</v>
      </c>
      <c r="N91" s="114">
        <f t="shared" ca="1" si="21"/>
        <v>0</v>
      </c>
      <c r="O91" s="114">
        <f t="shared" ca="1" si="21"/>
        <v>0</v>
      </c>
      <c r="P91" s="114">
        <f t="shared" ca="1" si="21"/>
        <v>0</v>
      </c>
      <c r="Q91" s="114">
        <f t="shared" ca="1" si="21"/>
        <v>0</v>
      </c>
      <c r="R91" s="114">
        <f t="shared" ca="1" si="21"/>
        <v>0</v>
      </c>
      <c r="S91" s="114">
        <f t="shared" ca="1" si="21"/>
        <v>0</v>
      </c>
      <c r="T91" s="114">
        <f t="shared" ca="1" si="21"/>
        <v>0</v>
      </c>
      <c r="U91" s="114">
        <f t="shared" ca="1" si="21"/>
        <v>0</v>
      </c>
      <c r="V91" s="114">
        <f t="shared" ca="1" si="21"/>
        <v>0</v>
      </c>
      <c r="W91" s="114">
        <f t="shared" ca="1" si="21"/>
        <v>0</v>
      </c>
      <c r="X91" s="114">
        <f t="shared" ca="1" si="21"/>
        <v>0</v>
      </c>
      <c r="Y91" s="114">
        <f t="shared" ca="1" si="21"/>
        <v>0</v>
      </c>
      <c r="Z91" s="114">
        <f t="shared" ca="1" si="21"/>
        <v>0</v>
      </c>
      <c r="AA91" s="114">
        <f t="shared" ca="1" si="21"/>
        <v>0</v>
      </c>
      <c r="AB91" s="114">
        <f t="shared" ca="1" si="21"/>
        <v>0</v>
      </c>
      <c r="AC91" s="114">
        <f t="shared" ca="1" si="21"/>
        <v>0</v>
      </c>
      <c r="AD91" s="114">
        <f t="shared" ca="1" si="21"/>
        <v>0</v>
      </c>
      <c r="AE91" s="114">
        <f t="shared" ca="1" si="21"/>
        <v>0</v>
      </c>
      <c r="AF91" s="114">
        <f t="shared" ca="1" si="21"/>
        <v>0</v>
      </c>
      <c r="AG91" s="114">
        <f t="shared" ca="1" si="21"/>
        <v>0</v>
      </c>
      <c r="AH91" s="114">
        <f t="shared" ca="1" si="21"/>
        <v>0</v>
      </c>
      <c r="AI91" s="114">
        <f t="shared" ca="1" si="21"/>
        <v>0</v>
      </c>
    </row>
    <row r="93" spans="1:35" x14ac:dyDescent="0.55000000000000004">
      <c r="A93" s="82" t="s">
        <v>10</v>
      </c>
      <c r="B93" s="115" t="s">
        <v>86</v>
      </c>
      <c r="C93" s="115"/>
      <c r="D93" s="115"/>
      <c r="E93" s="115"/>
      <c r="F93" s="116"/>
      <c r="G93" s="115"/>
      <c r="H93" s="117"/>
      <c r="I93" s="117"/>
      <c r="J93" s="117"/>
      <c r="K93" s="117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</row>
  </sheetData>
  <conditionalFormatting sqref="L68:AI68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4433-F7C6-4667-A841-C014650C1B49}">
  <dimension ref="A1:AL93"/>
  <sheetViews>
    <sheetView showGridLines="0" tabSelected="1" zoomScale="85" zoomScaleNormal="85" workbookViewId="0">
      <pane xSplit="11" ySplit="13" topLeftCell="L14" activePane="bottomRight" state="frozen"/>
      <selection activeCell="Q137" sqref="Q137"/>
      <selection pane="topRight" activeCell="Q137" sqref="Q137"/>
      <selection pane="bottomLeft" activeCell="Q137" sqref="Q137"/>
      <selection pane="bottomRight"/>
    </sheetView>
  </sheetViews>
  <sheetFormatPr defaultColWidth="0" defaultRowHeight="12.9" x14ac:dyDescent="0.55000000000000004"/>
  <cols>
    <col min="1" max="1" width="2.578125" style="1" customWidth="1"/>
    <col min="2" max="5" width="9.15625" style="4" customWidth="1"/>
    <col min="6" max="6" width="9.15625" style="86" customWidth="1"/>
    <col min="7" max="7" width="9.15625" style="4" customWidth="1"/>
    <col min="8" max="11" width="9.15625" style="5" customWidth="1"/>
    <col min="12" max="19" width="9.15625" style="4" customWidth="1"/>
    <col min="20" max="20" width="1.578125" style="4" customWidth="1"/>
    <col min="21" max="22" width="9.15625" style="4" customWidth="1"/>
    <col min="23" max="23" width="2.578125" style="4" customWidth="1"/>
    <col min="24" max="38" width="0" style="4" hidden="1" customWidth="1"/>
    <col min="39" max="16384" width="8.83984375" style="4" hidden="1"/>
  </cols>
  <sheetData>
    <row r="1" spans="1:22" ht="6" customHeight="1" thickBot="1" x14ac:dyDescent="0.6">
      <c r="B1" s="2"/>
      <c r="C1" s="2"/>
      <c r="D1" s="2"/>
      <c r="E1" s="2"/>
      <c r="F1" s="3"/>
      <c r="G1" s="2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3" customHeight="1" x14ac:dyDescent="0.55000000000000004">
      <c r="F2" s="5"/>
    </row>
    <row r="3" spans="1:22" ht="15.6" x14ac:dyDescent="0.55000000000000004">
      <c r="B3" s="6" t="str">
        <f>'Calc.Mth'!B3</f>
        <v>Project Eagle</v>
      </c>
      <c r="F3" s="5"/>
    </row>
    <row r="4" spans="1:22" ht="14.4" x14ac:dyDescent="0.55000000000000004">
      <c r="B4" s="7" t="s">
        <v>125</v>
      </c>
      <c r="F4" s="5"/>
      <c r="G4" s="8" t="s">
        <v>138</v>
      </c>
      <c r="H4" s="8" t="s">
        <v>176</v>
      </c>
      <c r="I4" s="8" t="s">
        <v>178</v>
      </c>
      <c r="J4" s="8" t="s">
        <v>177</v>
      </c>
      <c r="K4" s="8" t="s">
        <v>184</v>
      </c>
    </row>
    <row r="5" spans="1:22" x14ac:dyDescent="0.55000000000000004">
      <c r="B5" s="9" t="str">
        <f ca="1">Ctrl!$B$5</f>
        <v>CASE 1: BASE CASE</v>
      </c>
      <c r="F5" s="5"/>
      <c r="G5" s="11">
        <f ca="1">Sum!$E$19</f>
        <v>16</v>
      </c>
      <c r="H5" s="12">
        <f ca="1">Sum!$E$28</f>
        <v>3259.9200858489485</v>
      </c>
      <c r="I5" s="13">
        <f ca="1">Sum!$E$21</f>
        <v>45626</v>
      </c>
      <c r="J5" s="12">
        <f ca="1">'Calc.Mth'!$AI$57</f>
        <v>2999.7355308861597</v>
      </c>
      <c r="K5" s="12">
        <f ca="1">Fin.Mth!$AI$81</f>
        <v>1487.7626164462733</v>
      </c>
      <c r="L5" s="70" t="s">
        <v>127</v>
      </c>
      <c r="M5" s="70"/>
      <c r="N5" s="70"/>
      <c r="O5" s="70"/>
      <c r="P5" s="70"/>
      <c r="Q5" s="70"/>
      <c r="R5" s="70"/>
      <c r="S5" s="70"/>
      <c r="U5" s="70" t="s">
        <v>128</v>
      </c>
      <c r="V5" s="70"/>
    </row>
    <row r="6" spans="1:22" ht="3" customHeight="1" x14ac:dyDescent="0.55000000000000004">
      <c r="F6" s="5"/>
    </row>
    <row r="7" spans="1:22" s="72" customFormat="1" x14ac:dyDescent="0.55000000000000004">
      <c r="A7" s="71"/>
      <c r="B7" s="72" t="str">
        <f>'Calc.Mth'!B7</f>
        <v>Period End</v>
      </c>
      <c r="F7" s="73"/>
      <c r="H7" s="74"/>
      <c r="I7" s="74"/>
      <c r="J7" s="74"/>
      <c r="K7" s="74"/>
      <c r="L7" s="75">
        <v>45382</v>
      </c>
      <c r="M7" s="75">
        <f>EOMONTH(M8,2)</f>
        <v>45473</v>
      </c>
      <c r="N7" s="75">
        <f t="shared" ref="N7:S7" si="0">EOMONTH(N8,2)</f>
        <v>45565</v>
      </c>
      <c r="O7" s="75">
        <f t="shared" si="0"/>
        <v>45657</v>
      </c>
      <c r="P7" s="75">
        <f t="shared" si="0"/>
        <v>45747</v>
      </c>
      <c r="Q7" s="75">
        <f t="shared" si="0"/>
        <v>45838</v>
      </c>
      <c r="R7" s="75">
        <f t="shared" si="0"/>
        <v>45930</v>
      </c>
      <c r="S7" s="75">
        <f t="shared" si="0"/>
        <v>46022</v>
      </c>
      <c r="T7" s="75"/>
      <c r="U7" s="75">
        <f>O7</f>
        <v>45657</v>
      </c>
      <c r="V7" s="75">
        <f>S7</f>
        <v>46022</v>
      </c>
    </row>
    <row r="8" spans="1:22" x14ac:dyDescent="0.55000000000000004">
      <c r="B8" s="4" t="str">
        <f>'Calc.Mth'!B8</f>
        <v>Period Start</v>
      </c>
      <c r="F8" s="5"/>
      <c r="H8" s="76"/>
      <c r="I8" s="76"/>
      <c r="J8" s="76"/>
      <c r="K8" s="76"/>
      <c r="L8" s="77">
        <f>'Calc.Mth'!L8</f>
        <v>45292</v>
      </c>
      <c r="M8" s="77">
        <f>L7+1</f>
        <v>45383</v>
      </c>
      <c r="N8" s="77">
        <f t="shared" ref="N8:V8" si="1">M7+1</f>
        <v>45474</v>
      </c>
      <c r="O8" s="77">
        <f t="shared" si="1"/>
        <v>45566</v>
      </c>
      <c r="P8" s="77">
        <f t="shared" si="1"/>
        <v>45658</v>
      </c>
      <c r="Q8" s="77">
        <f t="shared" si="1"/>
        <v>45748</v>
      </c>
      <c r="R8" s="77">
        <f t="shared" si="1"/>
        <v>45839</v>
      </c>
      <c r="S8" s="77">
        <f t="shared" si="1"/>
        <v>45931</v>
      </c>
      <c r="T8" s="77"/>
      <c r="U8" s="77">
        <f>L8</f>
        <v>45292</v>
      </c>
      <c r="V8" s="77">
        <f t="shared" si="1"/>
        <v>45658</v>
      </c>
    </row>
    <row r="9" spans="1:22" x14ac:dyDescent="0.55000000000000004">
      <c r="B9" s="4" t="str">
        <f>'Calc.Mth'!B9</f>
        <v>Calendar Year</v>
      </c>
      <c r="F9" s="5"/>
      <c r="H9" s="76"/>
      <c r="I9" s="76"/>
      <c r="J9" s="76"/>
      <c r="K9" s="76"/>
      <c r="L9" s="78">
        <f>YEAR(L7)</f>
        <v>2024</v>
      </c>
      <c r="M9" s="78">
        <f t="shared" ref="M9:S9" si="2">YEAR(M7)</f>
        <v>2024</v>
      </c>
      <c r="N9" s="78">
        <f t="shared" si="2"/>
        <v>2024</v>
      </c>
      <c r="O9" s="78">
        <f t="shared" si="2"/>
        <v>2024</v>
      </c>
      <c r="P9" s="78">
        <f t="shared" si="2"/>
        <v>2025</v>
      </c>
      <c r="Q9" s="78">
        <f t="shared" si="2"/>
        <v>2025</v>
      </c>
      <c r="R9" s="78">
        <f t="shared" si="2"/>
        <v>2025</v>
      </c>
      <c r="S9" s="78">
        <f t="shared" si="2"/>
        <v>2025</v>
      </c>
      <c r="T9" s="78"/>
      <c r="U9" s="78">
        <f t="shared" ref="U9:V9" si="3">YEAR(U7)</f>
        <v>2024</v>
      </c>
      <c r="V9" s="78">
        <f t="shared" si="3"/>
        <v>2025</v>
      </c>
    </row>
    <row r="10" spans="1:22" x14ac:dyDescent="0.55000000000000004">
      <c r="B10" s="4" t="str">
        <f>'Calc.Mth'!B10</f>
        <v>Period Number</v>
      </c>
      <c r="F10" s="5"/>
      <c r="H10" s="76"/>
      <c r="I10" s="76"/>
      <c r="J10" s="76"/>
      <c r="K10" s="76"/>
      <c r="L10" s="78">
        <f>'Calc.Mth'!L10</f>
        <v>1</v>
      </c>
      <c r="M10" s="78">
        <f>'Calc.Mth'!M10</f>
        <v>2</v>
      </c>
      <c r="N10" s="4">
        <f>'Calc.Mth'!N10</f>
        <v>3</v>
      </c>
      <c r="O10" s="4">
        <f>'Calc.Mth'!O10</f>
        <v>4</v>
      </c>
      <c r="P10" s="4">
        <f>'Calc.Mth'!P10</f>
        <v>5</v>
      </c>
      <c r="Q10" s="4">
        <f>'Calc.Mth'!Q10</f>
        <v>6</v>
      </c>
      <c r="R10" s="4">
        <f>'Calc.Mth'!R10</f>
        <v>7</v>
      </c>
      <c r="S10" s="4">
        <f>'Calc.Mth'!S10</f>
        <v>8</v>
      </c>
      <c r="U10" s="4">
        <f>'Calc.Mth'!U10</f>
        <v>10</v>
      </c>
      <c r="V10" s="4">
        <f>'Calc.Mth'!V10</f>
        <v>11</v>
      </c>
    </row>
    <row r="11" spans="1:22" x14ac:dyDescent="0.55000000000000004">
      <c r="B11" s="4" t="str">
        <f>'Calc.Mth'!B11</f>
        <v>Days in Period</v>
      </c>
      <c r="F11" s="79" t="str">
        <f>'Calc.Mth'!F11</f>
        <v>Units</v>
      </c>
      <c r="G11" s="80"/>
      <c r="H11" s="81" t="str">
        <f>'Calc.Mth'!H11</f>
        <v>Input I</v>
      </c>
      <c r="I11" s="81" t="str">
        <f>'Calc.Mth'!I11</f>
        <v>Input II</v>
      </c>
      <c r="J11" s="81" t="str">
        <f>'Calc.Mth'!J11</f>
        <v>Input III</v>
      </c>
      <c r="K11" s="81" t="str">
        <f>'Calc.Mth'!K11</f>
        <v>Total / Out</v>
      </c>
      <c r="L11" s="78">
        <f>L7-L8+1</f>
        <v>91</v>
      </c>
      <c r="M11" s="78">
        <f t="shared" ref="M11:S11" si="4">M7-M8+1</f>
        <v>91</v>
      </c>
      <c r="N11" s="78">
        <f t="shared" si="4"/>
        <v>92</v>
      </c>
      <c r="O11" s="78">
        <f t="shared" si="4"/>
        <v>92</v>
      </c>
      <c r="P11" s="78">
        <f t="shared" si="4"/>
        <v>90</v>
      </c>
      <c r="Q11" s="78">
        <f t="shared" si="4"/>
        <v>91</v>
      </c>
      <c r="R11" s="78">
        <f t="shared" si="4"/>
        <v>92</v>
      </c>
      <c r="S11" s="78">
        <f t="shared" si="4"/>
        <v>92</v>
      </c>
      <c r="T11" s="78"/>
      <c r="U11" s="78">
        <f t="shared" ref="U11:V11" si="5">U7-U8+1</f>
        <v>366</v>
      </c>
      <c r="V11" s="78">
        <f t="shared" si="5"/>
        <v>365</v>
      </c>
    </row>
    <row r="12" spans="1:22" ht="3" customHeight="1" thickBot="1" x14ac:dyDescent="0.6">
      <c r="B12" s="2"/>
      <c r="C12" s="2"/>
      <c r="D12" s="2"/>
      <c r="E12" s="2"/>
      <c r="F12" s="3"/>
      <c r="G12" s="2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3" customHeight="1" x14ac:dyDescent="0.55000000000000004">
      <c r="F13" s="5"/>
    </row>
    <row r="14" spans="1:22" ht="3" customHeight="1" x14ac:dyDescent="0.55000000000000004">
      <c r="F14" s="5"/>
    </row>
    <row r="15" spans="1:22" x14ac:dyDescent="0.55000000000000004">
      <c r="A15" s="82" t="s">
        <v>10</v>
      </c>
      <c r="B15" s="83" t="s">
        <v>11</v>
      </c>
      <c r="C15" s="83"/>
      <c r="D15" s="83"/>
      <c r="E15" s="83"/>
      <c r="F15" s="84"/>
      <c r="G15" s="83"/>
      <c r="H15" s="85"/>
      <c r="I15" s="85"/>
      <c r="J15" s="85"/>
      <c r="K15" s="85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spans="1:22" ht="3" customHeight="1" x14ac:dyDescent="0.55000000000000004"/>
    <row r="17" spans="1:22" x14ac:dyDescent="0.55000000000000004">
      <c r="B17" s="72" t="s">
        <v>89</v>
      </c>
    </row>
    <row r="18" spans="1:22" x14ac:dyDescent="0.55000000000000004">
      <c r="B18" s="4" t="s">
        <v>90</v>
      </c>
      <c r="F18" s="86" t="s">
        <v>29</v>
      </c>
      <c r="L18" s="87">
        <f ca="1">SUMIFS(Fin.Mth!$L18:$AI18,Fin.Mth!$L$7:$AI$7,"="&amp;Fin.Qtr!L$7)</f>
        <v>3471.21875</v>
      </c>
      <c r="M18" s="87">
        <f ca="1">SUMIFS(Fin.Mth!$L18:$AI18,Fin.Mth!$L$7:$AI$7,"="&amp;Fin.Qtr!M$7)</f>
        <v>2131.7622148437495</v>
      </c>
      <c r="N18" s="87">
        <f ca="1">SUMIFS(Fin.Mth!$L18:$AI18,Fin.Mth!$L$7:$AI$7,"="&amp;Fin.Qtr!N$7)</f>
        <v>1309.1684701909176</v>
      </c>
      <c r="O18" s="87">
        <f ca="1">SUMIFS(Fin.Mth!$L18:$AI18,Fin.Mth!$L$7:$AI$7,"="&amp;Fin.Qtr!O$7)</f>
        <v>803.99308675599752</v>
      </c>
      <c r="P18" s="87">
        <f ca="1">SUMIFS(Fin.Mth!$L18:$AI18,Fin.Mth!$L$7:$AI$7,"="&amp;Fin.Qtr!P$7)</f>
        <v>493.75225440402698</v>
      </c>
      <c r="Q18" s="87">
        <f ca="1">SUMIFS(Fin.Mth!$L18:$AI18,Fin.Mth!$L$7:$AI$7,"="&amp;Fin.Qtr!Q$7)</f>
        <v>303.22560323587311</v>
      </c>
      <c r="R18" s="87">
        <f ca="1">SUMIFS(Fin.Mth!$L18:$AI18,Fin.Mth!$L$7:$AI$7,"="&amp;Fin.Qtr!R$7)</f>
        <v>186.2184235872306</v>
      </c>
      <c r="S18" s="87">
        <f ca="1">SUMIFS(Fin.Mth!$L18:$AI18,Fin.Mth!$L$7:$AI$7,"="&amp;Fin.Qtr!S$7)</f>
        <v>114.36138938550796</v>
      </c>
      <c r="T18" s="87"/>
      <c r="U18" s="87">
        <f ca="1">AVERAGE(L18:O18)</f>
        <v>1929.0356304476663</v>
      </c>
      <c r="V18" s="87">
        <f ca="1">AVERAGE(P18:S18)</f>
        <v>274.38941765315968</v>
      </c>
    </row>
    <row r="19" spans="1:22" x14ac:dyDescent="0.55000000000000004">
      <c r="B19" s="4" t="s">
        <v>91</v>
      </c>
      <c r="F19" s="86" t="s">
        <v>29</v>
      </c>
      <c r="L19" s="87">
        <f ca="1">SUMIFS(Fin.Mth!$L19:$AI19,Fin.Mth!$L$7:$AI$7,"="&amp;Fin.Qtr!L$7)</f>
        <v>4915</v>
      </c>
      <c r="M19" s="87">
        <f ca="1">SUMIFS(Fin.Mth!$L19:$AI19,Fin.Mth!$L$7:$AI$7,"="&amp;Fin.Qtr!M$7)</f>
        <v>6021.0863449999997</v>
      </c>
      <c r="N19" s="87">
        <f ca="1">SUMIFS(Fin.Mth!$L19:$AI19,Fin.Mth!$L$7:$AI$7,"="&amp;Fin.Qtr!N$7)</f>
        <v>7376.0896793378352</v>
      </c>
      <c r="O19" s="87">
        <f ca="1">SUMIFS(Fin.Mth!$L19:$AI19,Fin.Mth!$L$7:$AI$7,"="&amp;Fin.Qtr!O$7)</f>
        <v>9036.027029045059</v>
      </c>
      <c r="P19" s="87">
        <f ca="1">SUMIFS(Fin.Mth!$L19:$AI19,Fin.Mth!$L$7:$AI$7,"="&amp;Fin.Qtr!P$7)</f>
        <v>9188.5142972424455</v>
      </c>
      <c r="Q19" s="87">
        <f ca="1">SUMIFS(Fin.Mth!$L19:$AI19,Fin.Mth!$L$7:$AI$7,"="&amp;Fin.Qtr!Q$7)</f>
        <v>10842.727132986778</v>
      </c>
      <c r="R19" s="87">
        <f ca="1">SUMIFS(Fin.Mth!$L19:$AI19,Fin.Mth!$L$7:$AI$7,"="&amp;Fin.Qtr!R$7)</f>
        <v>12776.131656080819</v>
      </c>
      <c r="S19" s="87">
        <f ca="1">SUMIFS(Fin.Mth!$L19:$AI19,Fin.Mth!$L$7:$AI$7,"="&amp;Fin.Qtr!S$7)</f>
        <v>15030.611599430484</v>
      </c>
      <c r="T19" s="87"/>
      <c r="U19" s="87">
        <f t="shared" ref="U19:U20" ca="1" si="6">AVERAGE(L19:O19)</f>
        <v>6837.0507633457237</v>
      </c>
      <c r="V19" s="87">
        <f t="shared" ref="V19:V20" ca="1" si="7">AVERAGE(P19:S19)</f>
        <v>11959.496171435132</v>
      </c>
    </row>
    <row r="20" spans="1:22" s="72" customFormat="1" x14ac:dyDescent="0.55000000000000004">
      <c r="A20" s="71"/>
      <c r="B20" s="88" t="s">
        <v>9</v>
      </c>
      <c r="C20" s="88"/>
      <c r="D20" s="88"/>
      <c r="E20" s="88"/>
      <c r="F20" s="89" t="s">
        <v>29</v>
      </c>
      <c r="G20" s="88"/>
      <c r="H20" s="90"/>
      <c r="I20" s="90"/>
      <c r="J20" s="90"/>
      <c r="K20" s="90"/>
      <c r="L20" s="91">
        <f ca="1">SUMIFS(Fin.Mth!$L20:$AI20,Fin.Mth!$L$7:$AI$7,"="&amp;Fin.Qtr!L$7)</f>
        <v>8386.21875</v>
      </c>
      <c r="M20" s="91">
        <f ca="1">SUMIFS(Fin.Mth!$L20:$AI20,Fin.Mth!$L$7:$AI$7,"="&amp;Fin.Qtr!M$7)</f>
        <v>8152.8485598437492</v>
      </c>
      <c r="N20" s="91">
        <f ca="1">SUMIFS(Fin.Mth!$L20:$AI20,Fin.Mth!$L$7:$AI$7,"="&amp;Fin.Qtr!N$7)</f>
        <v>8685.2581495287523</v>
      </c>
      <c r="O20" s="91">
        <f ca="1">SUMIFS(Fin.Mth!$L20:$AI20,Fin.Mth!$L$7:$AI$7,"="&amp;Fin.Qtr!O$7)</f>
        <v>9840.0201158010568</v>
      </c>
      <c r="P20" s="91">
        <f ca="1">SUMIFS(Fin.Mth!$L20:$AI20,Fin.Mth!$L$7:$AI$7,"="&amp;Fin.Qtr!P$7)</f>
        <v>9682.2665516464731</v>
      </c>
      <c r="Q20" s="91">
        <f ca="1">SUMIFS(Fin.Mth!$L20:$AI20,Fin.Mth!$L$7:$AI$7,"="&amp;Fin.Qtr!Q$7)</f>
        <v>11145.952736222651</v>
      </c>
      <c r="R20" s="91">
        <f ca="1">SUMIFS(Fin.Mth!$L20:$AI20,Fin.Mth!$L$7:$AI$7,"="&amp;Fin.Qtr!R$7)</f>
        <v>12962.350079668049</v>
      </c>
      <c r="S20" s="91">
        <f ca="1">SUMIFS(Fin.Mth!$L20:$AI20,Fin.Mth!$L$7:$AI$7,"="&amp;Fin.Qtr!S$7)</f>
        <v>15144.972988815991</v>
      </c>
      <c r="T20" s="92"/>
      <c r="U20" s="91">
        <f t="shared" ca="1" si="6"/>
        <v>8766.08639379339</v>
      </c>
      <c r="V20" s="91">
        <f t="shared" ca="1" si="7"/>
        <v>12233.885589088291</v>
      </c>
    </row>
    <row r="21" spans="1:22" x14ac:dyDescent="0.55000000000000004"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spans="1:22" x14ac:dyDescent="0.55000000000000004">
      <c r="B22" s="72" t="s">
        <v>92</v>
      </c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spans="1:22" x14ac:dyDescent="0.55000000000000004">
      <c r="B23" s="4" t="s">
        <v>13</v>
      </c>
      <c r="F23" s="86" t="s">
        <v>41</v>
      </c>
      <c r="L23" s="87">
        <f ca="1">AVERAGEIFS(Fin.Mth!$L23:$AI23,Fin.Mth!$L$7:$AI$7,"&gt;="&amp;Fin.Qtr!L$8,Fin.Mth!$L$7:$AI$7,"&lt;="&amp;Fin.Qtr!L$7)</f>
        <v>30</v>
      </c>
      <c r="M23" s="87">
        <f ca="1">AVERAGEIFS(Fin.Mth!$L23:$AI23,Fin.Mth!$L$7:$AI$7,"&gt;="&amp;Fin.Qtr!M$8,Fin.Mth!$L$7:$AI$7,"&lt;="&amp;Fin.Qtr!M$7)</f>
        <v>30</v>
      </c>
      <c r="N23" s="87">
        <f ca="1">AVERAGEIFS(Fin.Mth!$L23:$AI23,Fin.Mth!$L$7:$AI$7,"&gt;="&amp;Fin.Qtr!N$8,Fin.Mth!$L$7:$AI$7,"&lt;="&amp;Fin.Qtr!N$7)</f>
        <v>30</v>
      </c>
      <c r="O23" s="87">
        <f ca="1">AVERAGEIFS(Fin.Mth!$L23:$AI23,Fin.Mth!$L$7:$AI$7,"&gt;="&amp;Fin.Qtr!O$8,Fin.Mth!$L$7:$AI$7,"&lt;="&amp;Fin.Qtr!O$7)</f>
        <v>30</v>
      </c>
      <c r="P23" s="87">
        <f ca="1">AVERAGEIFS(Fin.Mth!$L23:$AI23,Fin.Mth!$L$7:$AI$7,"&gt;="&amp;Fin.Qtr!P$8,Fin.Mth!$L$7:$AI$7,"&lt;="&amp;Fin.Qtr!P$7)</f>
        <v>30</v>
      </c>
      <c r="Q23" s="87">
        <f ca="1">AVERAGEIFS(Fin.Mth!$L23:$AI23,Fin.Mth!$L$7:$AI$7,"&gt;="&amp;Fin.Qtr!Q$8,Fin.Mth!$L$7:$AI$7,"&lt;="&amp;Fin.Qtr!Q$7)</f>
        <v>30</v>
      </c>
      <c r="R23" s="87">
        <f ca="1">AVERAGEIFS(Fin.Mth!$L23:$AI23,Fin.Mth!$L$7:$AI$7,"&gt;="&amp;Fin.Qtr!R$8,Fin.Mth!$L$7:$AI$7,"&lt;="&amp;Fin.Qtr!R$7)</f>
        <v>30</v>
      </c>
      <c r="S23" s="87">
        <f ca="1">AVERAGEIFS(Fin.Mth!$L23:$AI23,Fin.Mth!$L$7:$AI$7,"&gt;="&amp;Fin.Qtr!S$8,Fin.Mth!$L$7:$AI$7,"&lt;="&amp;Fin.Qtr!S$7)</f>
        <v>30</v>
      </c>
      <c r="T23" s="87"/>
      <c r="U23" s="94">
        <f t="shared" ref="U23:U25" ca="1" si="8">AVERAGE(L23:O23)</f>
        <v>30</v>
      </c>
      <c r="V23" s="94">
        <f t="shared" ref="V23:V25" ca="1" si="9">AVERAGE(P23:S23)</f>
        <v>30</v>
      </c>
    </row>
    <row r="24" spans="1:22" x14ac:dyDescent="0.55000000000000004">
      <c r="B24" s="4" t="s">
        <v>93</v>
      </c>
      <c r="F24" s="86" t="s">
        <v>41</v>
      </c>
      <c r="L24" s="87">
        <f ca="1">AVERAGEIFS(Fin.Mth!$L24:$AI24,Fin.Mth!$L$7:$AI$7,"&gt;="&amp;Fin.Qtr!L$8,Fin.Mth!$L$7:$AI$7,"&lt;="&amp;Fin.Qtr!L$7)</f>
        <v>330</v>
      </c>
      <c r="M24" s="87">
        <f ca="1">AVERAGEIFS(Fin.Mth!$L24:$AI24,Fin.Mth!$L$7:$AI$7,"&gt;="&amp;Fin.Qtr!M$8,Fin.Mth!$L$7:$AI$7,"&lt;="&amp;Fin.Qtr!M$7)</f>
        <v>330</v>
      </c>
      <c r="N24" s="87">
        <f ca="1">AVERAGEIFS(Fin.Mth!$L24:$AI24,Fin.Mth!$L$7:$AI$7,"&gt;="&amp;Fin.Qtr!N$8,Fin.Mth!$L$7:$AI$7,"&lt;="&amp;Fin.Qtr!N$7)</f>
        <v>330</v>
      </c>
      <c r="O24" s="87">
        <f ca="1">AVERAGEIFS(Fin.Mth!$L24:$AI24,Fin.Mth!$L$7:$AI$7,"&gt;="&amp;Fin.Qtr!O$8,Fin.Mth!$L$7:$AI$7,"&lt;="&amp;Fin.Qtr!O$7)</f>
        <v>330</v>
      </c>
      <c r="P24" s="87">
        <f ca="1">AVERAGEIFS(Fin.Mth!$L24:$AI24,Fin.Mth!$L$7:$AI$7,"&gt;="&amp;Fin.Qtr!P$8,Fin.Mth!$L$7:$AI$7,"&lt;="&amp;Fin.Qtr!P$7)</f>
        <v>330</v>
      </c>
      <c r="Q24" s="87">
        <f ca="1">AVERAGEIFS(Fin.Mth!$L24:$AI24,Fin.Mth!$L$7:$AI$7,"&gt;="&amp;Fin.Qtr!Q$8,Fin.Mth!$L$7:$AI$7,"&lt;="&amp;Fin.Qtr!Q$7)</f>
        <v>330</v>
      </c>
      <c r="R24" s="87">
        <f ca="1">AVERAGEIFS(Fin.Mth!$L24:$AI24,Fin.Mth!$L$7:$AI$7,"&gt;="&amp;Fin.Qtr!R$8,Fin.Mth!$L$7:$AI$7,"&lt;="&amp;Fin.Qtr!R$7)</f>
        <v>330</v>
      </c>
      <c r="S24" s="87">
        <f ca="1">AVERAGEIFS(Fin.Mth!$L24:$AI24,Fin.Mth!$L$7:$AI$7,"&gt;="&amp;Fin.Qtr!S$8,Fin.Mth!$L$7:$AI$7,"&lt;="&amp;Fin.Qtr!S$7)</f>
        <v>330</v>
      </c>
      <c r="T24" s="87"/>
      <c r="U24" s="94">
        <f t="shared" ca="1" si="8"/>
        <v>330</v>
      </c>
      <c r="V24" s="94">
        <f t="shared" ca="1" si="9"/>
        <v>330</v>
      </c>
    </row>
    <row r="25" spans="1:22" s="72" customFormat="1" x14ac:dyDescent="0.55000000000000004">
      <c r="A25" s="71"/>
      <c r="B25" s="88" t="s">
        <v>9</v>
      </c>
      <c r="C25" s="88"/>
      <c r="D25" s="88"/>
      <c r="E25" s="88"/>
      <c r="F25" s="89" t="s">
        <v>41</v>
      </c>
      <c r="G25" s="88"/>
      <c r="H25" s="90"/>
      <c r="I25" s="90"/>
      <c r="J25" s="90"/>
      <c r="K25" s="90"/>
      <c r="L25" s="91">
        <f ca="1">AVERAGEIFS(Fin.Mth!$L25:$AI25,Fin.Mth!$L$7:$AI$7,"&gt;="&amp;Fin.Qtr!L$8,Fin.Mth!$L$7:$AI$7,"&lt;="&amp;Fin.Qtr!L$7)</f>
        <v>21.697049419507049</v>
      </c>
      <c r="M25" s="91">
        <f ca="1">AVERAGEIFS(Fin.Mth!$L25:$AI25,Fin.Mth!$L$7:$AI$7,"&gt;="&amp;Fin.Qtr!M$8,Fin.Mth!$L$7:$AI$7,"&lt;="&amp;Fin.Qtr!M$7)</f>
        <v>28.473222823916917</v>
      </c>
      <c r="N25" s="91">
        <f ca="1">AVERAGEIFS(Fin.Mth!$L25:$AI25,Fin.Mth!$L$7:$AI$7,"&gt;="&amp;Fin.Qtr!N$8,Fin.Mth!$L$7:$AI$7,"&lt;="&amp;Fin.Qtr!N$7)</f>
        <v>27.714799103983591</v>
      </c>
      <c r="O25" s="91">
        <f ca="1">AVERAGEIFS(Fin.Mth!$L25:$AI25,Fin.Mth!$L$7:$AI$7,"&gt;="&amp;Fin.Qtr!O$8,Fin.Mth!$L$7:$AI$7,"&lt;="&amp;Fin.Qtr!O$7)</f>
        <v>27.217224760528058</v>
      </c>
      <c r="P25" s="91">
        <f ca="1">AVERAGEIFS(Fin.Mth!$L25:$AI25,Fin.Mth!$L$7:$AI$7,"&gt;="&amp;Fin.Qtr!P$8,Fin.Mth!$L$7:$AI$7,"&lt;="&amp;Fin.Qtr!P$7)</f>
        <v>22.245689497271496</v>
      </c>
      <c r="Q25" s="91">
        <f ca="1">AVERAGEIFS(Fin.Mth!$L25:$AI25,Fin.Mth!$L$7:$AI$7,"&gt;="&amp;Fin.Qtr!Q$8,Fin.Mth!$L$7:$AI$7,"&lt;="&amp;Fin.Qtr!Q$7)</f>
        <v>17.802969334792966</v>
      </c>
      <c r="R25" s="91">
        <f ca="1">AVERAGEIFS(Fin.Mth!$L25:$AI25,Fin.Mth!$L$7:$AI$7,"&gt;="&amp;Fin.Qtr!R$8,Fin.Mth!$L$7:$AI$7,"&lt;="&amp;Fin.Qtr!R$7)</f>
        <v>17.198681834715341</v>
      </c>
      <c r="S25" s="91">
        <f ca="1">AVERAGEIFS(Fin.Mth!$L25:$AI25,Fin.Mth!$L$7:$AI$7,"&gt;="&amp;Fin.Qtr!S$8,Fin.Mth!$L$7:$AI$7,"&lt;="&amp;Fin.Qtr!S$7)</f>
        <v>16.673421318705294</v>
      </c>
      <c r="T25" s="92"/>
      <c r="U25" s="95">
        <f t="shared" ca="1" si="8"/>
        <v>26.275574026983904</v>
      </c>
      <c r="V25" s="95">
        <f t="shared" ca="1" si="9"/>
        <v>18.480190496371275</v>
      </c>
    </row>
    <row r="26" spans="1:22" x14ac:dyDescent="0.55000000000000004"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spans="1:22" x14ac:dyDescent="0.55000000000000004">
      <c r="B27" s="72" t="s">
        <v>94</v>
      </c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spans="1:22" x14ac:dyDescent="0.55000000000000004">
      <c r="B28" s="4" t="s">
        <v>36</v>
      </c>
      <c r="F28" s="86" t="s">
        <v>41</v>
      </c>
      <c r="L28" s="87">
        <f ca="1">SUMIFS(Fin.Mth!$L28:$AI28,Fin.Mth!$L$7:$AI$7,"&gt;="&amp;Fin.Qtr!L$8,Fin.Mth!$L$7:$AI$7,"&lt;="&amp;Fin.Qtr!L$7)</f>
        <v>1685.0770312500001</v>
      </c>
      <c r="M28" s="87">
        <f ca="1">SUMIFS(Fin.Mth!$L28:$AI28,Fin.Mth!$L$7:$AI$7,"&gt;="&amp;Fin.Qtr!M$8,Fin.Mth!$L$7:$AI$7,"&lt;="&amp;Fin.Qtr!M$7)</f>
        <v>710.00898342890616</v>
      </c>
      <c r="N28" s="87">
        <f ca="1">SUMIFS(Fin.Mth!$L28:$AI28,Fin.Mth!$L$7:$AI$7,"&gt;="&amp;Fin.Qtr!N$8,Fin.Mth!$L$7:$AI$7,"&lt;="&amp;Fin.Qtr!N$7)</f>
        <v>584.70450523094928</v>
      </c>
      <c r="O28" s="87">
        <f ca="1">SUMIFS(Fin.Mth!$L28:$AI28,Fin.Mth!$L$7:$AI$7,"&gt;="&amp;Fin.Qtr!O$8,Fin.Mth!$L$7:$AI$7,"&lt;="&amp;Fin.Qtr!O$7)</f>
        <v>623.31875602191121</v>
      </c>
      <c r="P28" s="87">
        <f ca="1">SUMIFS(Fin.Mth!$L28:$AI28,Fin.Mth!$L$7:$AI$7,"&gt;="&amp;Fin.Qtr!P$8,Fin.Mth!$L$7:$AI$7,"&lt;="&amp;Fin.Qtr!P$7)</f>
        <v>670.03803431485062</v>
      </c>
      <c r="Q28" s="87">
        <f ca="1">SUMIFS(Fin.Mth!$L28:$AI28,Fin.Mth!$L$7:$AI$7,"&gt;="&amp;Fin.Qtr!Q$8,Fin.Mth!$L$7:$AI$7,"&lt;="&amp;Fin.Qtr!Q$7)</f>
        <v>693.26004751693938</v>
      </c>
      <c r="R28" s="87">
        <f ca="1">SUMIFS(Fin.Mth!$L28:$AI28,Fin.Mth!$L$7:$AI$7,"&gt;="&amp;Fin.Qtr!R$8,Fin.Mth!$L$7:$AI$7,"&lt;="&amp;Fin.Qtr!R$7)</f>
        <v>794.96787422500756</v>
      </c>
      <c r="S28" s="87">
        <f ca="1">SUMIFS(Fin.Mth!$L28:$AI28,Fin.Mth!$L$7:$AI$7,"&gt;="&amp;Fin.Qtr!S$8,Fin.Mth!$L$7:$AI$7,"&lt;="&amp;Fin.Qtr!S$7)</f>
        <v>924.24868276599216</v>
      </c>
      <c r="T28" s="87"/>
      <c r="U28" s="94">
        <f t="shared" ref="U28:U30" ca="1" si="10">AVERAGE(L28:O28)</f>
        <v>900.77731898294178</v>
      </c>
      <c r="V28" s="94">
        <f t="shared" ref="V28:V30" ca="1" si="11">AVERAGE(P28:S28)</f>
        <v>770.62865970569749</v>
      </c>
    </row>
    <row r="29" spans="1:22" x14ac:dyDescent="0.55000000000000004">
      <c r="B29" s="4" t="s">
        <v>24</v>
      </c>
      <c r="F29" s="86" t="s">
        <v>41</v>
      </c>
      <c r="L29" s="87">
        <f ca="1">SUMIFS(Fin.Mth!$L29:$AI29,Fin.Mth!$L$7:$AI$7,"&gt;="&amp;Fin.Qtr!L$8,Fin.Mth!$L$7:$AI$7,"&lt;="&amp;Fin.Qtr!L$7)</f>
        <v>468.61453125000003</v>
      </c>
      <c r="M29" s="87">
        <f ca="1">SUMIFS(Fin.Mth!$L29:$AI29,Fin.Mth!$L$7:$AI$7,"&gt;="&amp;Fin.Qtr!M$8,Fin.Mth!$L$7:$AI$7,"&lt;="&amp;Fin.Qtr!M$7)</f>
        <v>697.54206749765626</v>
      </c>
      <c r="N29" s="87">
        <f ca="1">SUMIFS(Fin.Mth!$L29:$AI29,Fin.Mth!$L$7:$AI$7,"&gt;="&amp;Fin.Qtr!N$8,Fin.Mth!$L$7:$AI$7,"&lt;="&amp;Fin.Qtr!N$7)</f>
        <v>703.13387709778294</v>
      </c>
      <c r="O29" s="87">
        <f ca="1">SUMIFS(Fin.Mth!$L29:$AI29,Fin.Mth!$L$7:$AI$7,"&gt;="&amp;Fin.Qtr!O$8,Fin.Mth!$L$7:$AI$7,"&lt;="&amp;Fin.Qtr!O$7)</f>
        <v>768.3998290217728</v>
      </c>
      <c r="P29" s="87">
        <f ca="1">SUMIFS(Fin.Mth!$L29:$AI29,Fin.Mth!$L$7:$AI$7,"&gt;="&amp;Fin.Qtr!P$8,Fin.Mth!$L$7:$AI$7,"&lt;="&amp;Fin.Qtr!P$7)</f>
        <v>637.06934142894499</v>
      </c>
      <c r="Q29" s="87">
        <f ca="1">SUMIFS(Fin.Mth!$L29:$AI29,Fin.Mth!$L$7:$AI$7,"&gt;="&amp;Fin.Qtr!Q$8,Fin.Mth!$L$7:$AI$7,"&lt;="&amp;Fin.Qtr!Q$7)</f>
        <v>567.61636220228593</v>
      </c>
      <c r="R29" s="87">
        <f ca="1">SUMIFS(Fin.Mth!$L29:$AI29,Fin.Mth!$L$7:$AI$7,"&gt;="&amp;Fin.Qtr!R$8,Fin.Mth!$L$7:$AI$7,"&lt;="&amp;Fin.Qtr!R$7)</f>
        <v>635.97525350974058</v>
      </c>
      <c r="S29" s="87">
        <f ca="1">SUMIFS(Fin.Mth!$L29:$AI29,Fin.Mth!$L$7:$AI$7,"&gt;="&amp;Fin.Qtr!S$8,Fin.Mth!$L$7:$AI$7,"&lt;="&amp;Fin.Qtr!S$7)</f>
        <v>719.51003630009961</v>
      </c>
      <c r="T29" s="87"/>
      <c r="U29" s="94">
        <f t="shared" ca="1" si="10"/>
        <v>659.42257621680301</v>
      </c>
      <c r="V29" s="94">
        <f t="shared" ca="1" si="11"/>
        <v>640.04274836026775</v>
      </c>
    </row>
    <row r="30" spans="1:22" x14ac:dyDescent="0.55000000000000004">
      <c r="B30" s="4" t="s">
        <v>25</v>
      </c>
      <c r="F30" s="86" t="s">
        <v>41</v>
      </c>
      <c r="L30" s="87">
        <f ca="1">SUMIFS(Fin.Mth!$L30:$AI30,Fin.Mth!$L$7:$AI$7,"="&amp;Fin.Qtr!L$7)</f>
        <v>2681.7468749999998</v>
      </c>
      <c r="M30" s="87">
        <f ca="1">SUMIFS(Fin.Mth!$L30:$AI30,Fin.Mth!$L$7:$AI$7,"="&amp;Fin.Qtr!M$7)</f>
        <v>2757.1137215343751</v>
      </c>
      <c r="N30" s="87">
        <f ca="1">SUMIFS(Fin.Mth!$L30:$AI30,Fin.Mth!$L$7:$AI$7,"="&amp;Fin.Qtr!N$7)</f>
        <v>2867.37518756997</v>
      </c>
      <c r="O30" s="87">
        <f ca="1">SUMIFS(Fin.Mth!$L30:$AI30,Fin.Mth!$L$7:$AI$7,"="&amp;Fin.Qtr!O$7)</f>
        <v>3199.3266121460347</v>
      </c>
      <c r="P30" s="87">
        <f ca="1">SUMIFS(Fin.Mth!$L30:$AI30,Fin.Mth!$L$7:$AI$7,"="&amp;Fin.Qtr!P$7)</f>
        <v>2230.6736840367048</v>
      </c>
      <c r="Q30" s="87">
        <f ca="1">SUMIFS(Fin.Mth!$L30:$AI30,Fin.Mth!$L$7:$AI$7,"="&amp;Fin.Qtr!Q$7)</f>
        <v>2351.8351592048944</v>
      </c>
      <c r="R30" s="87">
        <f ca="1">SUMIFS(Fin.Mth!$L30:$AI30,Fin.Mth!$L$7:$AI$7,"="&amp;Fin.Qtr!R$7)</f>
        <v>2646.7927594035532</v>
      </c>
      <c r="S30" s="87">
        <f ca="1">SUMIFS(Fin.Mth!$L30:$AI30,Fin.Mth!$L$7:$AI$7,"="&amp;Fin.Qtr!S$7)</f>
        <v>2999.7355308861597</v>
      </c>
      <c r="T30" s="87"/>
      <c r="U30" s="94">
        <f t="shared" ca="1" si="10"/>
        <v>2876.3905990625949</v>
      </c>
      <c r="V30" s="94">
        <f t="shared" ca="1" si="11"/>
        <v>2557.2592833828285</v>
      </c>
    </row>
    <row r="32" spans="1:22" x14ac:dyDescent="0.55000000000000004">
      <c r="B32" s="72" t="s">
        <v>119</v>
      </c>
    </row>
    <row r="33" spans="1:22" x14ac:dyDescent="0.55000000000000004">
      <c r="B33" s="4" t="s">
        <v>203</v>
      </c>
      <c r="F33" s="96" t="s">
        <v>122</v>
      </c>
      <c r="L33" s="97"/>
      <c r="M33" s="98">
        <f ca="1">AVERAGEIFS(Fin.Mth!$L33:$AI33,Fin.Mth!$L$7:$AI$7,"&gt;="&amp;Fin.Qtr!M$8,Fin.Mth!$L$7:$AI$7,"&lt;="&amp;Fin.Qtr!M$7)</f>
        <v>7.9432271142408206</v>
      </c>
      <c r="N33" s="98">
        <f ca="1">AVERAGEIFS(Fin.Mth!$L33:$AI33,Fin.Mth!$L$7:$AI$7,"&gt;="&amp;Fin.Qtr!N$8,Fin.Mth!$L$7:$AI$7,"&lt;="&amp;Fin.Qtr!N$7)</f>
        <v>7.8733973671253148</v>
      </c>
      <c r="O33" s="98">
        <f ca="1">AVERAGEIFS(Fin.Mth!$L33:$AI33,Fin.Mth!$L$7:$AI$7,"&gt;="&amp;Fin.Qtr!O$8,Fin.Mth!$L$7:$AI$7,"&lt;="&amp;Fin.Qtr!O$7)</f>
        <v>7.8658392693346562</v>
      </c>
      <c r="P33" s="98">
        <f ca="1">AVERAGEIFS(Fin.Mth!$L33:$AI33,Fin.Mth!$L$7:$AI$7,"&gt;="&amp;Fin.Qtr!P$8,Fin.Mth!$L$7:$AI$7,"&lt;="&amp;Fin.Qtr!P$7)</f>
        <v>7.6802093569788665</v>
      </c>
      <c r="Q33" s="98">
        <f ca="1">AVERAGEIFS(Fin.Mth!$L33:$AI33,Fin.Mth!$L$7:$AI$7,"&gt;="&amp;Fin.Qtr!Q$8,Fin.Mth!$L$7:$AI$7,"&lt;="&amp;Fin.Qtr!Q$7)</f>
        <v>7.7217483583440272</v>
      </c>
      <c r="R33" s="98">
        <f ca="1">AVERAGEIFS(Fin.Mth!$L33:$AI33,Fin.Mth!$L$7:$AI$7,"&gt;="&amp;Fin.Qtr!R$8,Fin.Mth!$L$7:$AI$7,"&lt;="&amp;Fin.Qtr!R$7)</f>
        <v>7.7293888414982801</v>
      </c>
      <c r="S33" s="98">
        <f ca="1">AVERAGEIFS(Fin.Mth!$L33:$AI33,Fin.Mth!$L$7:$AI$7,"&gt;="&amp;Fin.Qtr!S$8,Fin.Mth!$L$7:$AI$7,"&lt;="&amp;Fin.Qtr!S$7)</f>
        <v>7.7386804321453013</v>
      </c>
      <c r="T33" s="98"/>
      <c r="U33" s="99">
        <f t="shared" ref="U33:U36" ca="1" si="12">AVERAGE(L33:O33)</f>
        <v>7.8941545835669302</v>
      </c>
      <c r="V33" s="99">
        <f t="shared" ref="V33:V36" ca="1" si="13">AVERAGE(P33:S33)</f>
        <v>7.717506747241619</v>
      </c>
    </row>
    <row r="34" spans="1:22" x14ac:dyDescent="0.55000000000000004">
      <c r="B34" s="4" t="s">
        <v>204</v>
      </c>
      <c r="F34" s="96" t="s">
        <v>122</v>
      </c>
      <c r="L34" s="97"/>
      <c r="M34" s="98">
        <f ca="1">AVERAGEIFS(Fin.Mth!$L34:$AI34,Fin.Mth!$L$7:$AI$7,"&gt;="&amp;Fin.Qtr!M$8,Fin.Mth!$L$7:$AI$7,"&lt;="&amp;Fin.Qtr!M$7)</f>
        <v>0.7221115558400748</v>
      </c>
      <c r="N34" s="98">
        <f ca="1">AVERAGEIFS(Fin.Mth!$L34:$AI34,Fin.Mth!$L$7:$AI$7,"&gt;="&amp;Fin.Qtr!N$8,Fin.Mth!$L$7:$AI$7,"&lt;="&amp;Fin.Qtr!N$7)</f>
        <v>0.71576339701139224</v>
      </c>
      <c r="O34" s="98">
        <f ca="1">AVERAGEIFS(Fin.Mth!$L34:$AI34,Fin.Mth!$L$7:$AI$7,"&gt;="&amp;Fin.Qtr!O$8,Fin.Mth!$L$7:$AI$7,"&lt;="&amp;Fin.Qtr!O$7)</f>
        <v>0.71507629721224142</v>
      </c>
      <c r="P34" s="98">
        <f ca="1">AVERAGEIFS(Fin.Mth!$L34:$AI34,Fin.Mth!$L$7:$AI$7,"&gt;="&amp;Fin.Qtr!P$8,Fin.Mth!$L$7:$AI$7,"&lt;="&amp;Fin.Qtr!P$7)</f>
        <v>0.69820085063444248</v>
      </c>
      <c r="Q34" s="98">
        <f ca="1">AVERAGEIFS(Fin.Mth!$L34:$AI34,Fin.Mth!$L$7:$AI$7,"&gt;="&amp;Fin.Qtr!Q$8,Fin.Mth!$L$7:$AI$7,"&lt;="&amp;Fin.Qtr!Q$7)</f>
        <v>0.70197712348582053</v>
      </c>
      <c r="R34" s="98">
        <f ca="1">AVERAGEIFS(Fin.Mth!$L34:$AI34,Fin.Mth!$L$7:$AI$7,"&gt;="&amp;Fin.Qtr!R$8,Fin.Mth!$L$7:$AI$7,"&lt;="&amp;Fin.Qtr!R$7)</f>
        <v>0.70267171286348018</v>
      </c>
      <c r="S34" s="98">
        <f ca="1">AVERAGEIFS(Fin.Mth!$L34:$AI34,Fin.Mth!$L$7:$AI$7,"&gt;="&amp;Fin.Qtr!S$8,Fin.Mth!$L$7:$AI$7,"&lt;="&amp;Fin.Qtr!S$7)</f>
        <v>0.70351640292230011</v>
      </c>
      <c r="T34" s="98"/>
      <c r="U34" s="99">
        <f t="shared" ca="1" si="12"/>
        <v>0.71765041668790275</v>
      </c>
      <c r="V34" s="99">
        <f t="shared" ca="1" si="13"/>
        <v>0.7015915224765108</v>
      </c>
    </row>
    <row r="35" spans="1:22" x14ac:dyDescent="0.55000000000000004">
      <c r="B35" s="4" t="s">
        <v>205</v>
      </c>
      <c r="F35" s="96" t="s">
        <v>30</v>
      </c>
      <c r="L35" s="97"/>
      <c r="M35" s="100">
        <f ca="1">AVERAGEIFS(Fin.Mth!$L35:$AI35,Fin.Mth!$L$7:$AI$7,"&gt;="&amp;Fin.Qtr!M$8,Fin.Mth!$L$7:$AI$7,"&lt;="&amp;Fin.Qtr!M$7)</f>
        <v>0.75</v>
      </c>
      <c r="N35" s="100">
        <f ca="1">AVERAGEIFS(Fin.Mth!$L35:$AI35,Fin.Mth!$L$7:$AI$7,"&gt;="&amp;Fin.Qtr!N$8,Fin.Mth!$L$7:$AI$7,"&lt;="&amp;Fin.Qtr!N$7)</f>
        <v>0.75</v>
      </c>
      <c r="O35" s="100">
        <f ca="1">AVERAGEIFS(Fin.Mth!$L35:$AI35,Fin.Mth!$L$7:$AI$7,"&gt;="&amp;Fin.Qtr!O$8,Fin.Mth!$L$7:$AI$7,"&lt;="&amp;Fin.Qtr!O$7)</f>
        <v>0.75</v>
      </c>
      <c r="P35" s="100">
        <f ca="1">AVERAGEIFS(Fin.Mth!$L35:$AI35,Fin.Mth!$L$7:$AI$7,"&gt;="&amp;Fin.Qtr!P$8,Fin.Mth!$L$7:$AI$7,"&lt;="&amp;Fin.Qtr!P$7)</f>
        <v>0.75</v>
      </c>
      <c r="Q35" s="100">
        <f ca="1">AVERAGEIFS(Fin.Mth!$L35:$AI35,Fin.Mth!$L$7:$AI$7,"&gt;="&amp;Fin.Qtr!Q$8,Fin.Mth!$L$7:$AI$7,"&lt;="&amp;Fin.Qtr!Q$7)</f>
        <v>0.75</v>
      </c>
      <c r="R35" s="100">
        <f ca="1">AVERAGEIFS(Fin.Mth!$L35:$AI35,Fin.Mth!$L$7:$AI$7,"&gt;="&amp;Fin.Qtr!R$8,Fin.Mth!$L$7:$AI$7,"&lt;="&amp;Fin.Qtr!R$7)</f>
        <v>0.75</v>
      </c>
      <c r="S35" s="100">
        <f ca="1">AVERAGEIFS(Fin.Mth!$L35:$AI35,Fin.Mth!$L$7:$AI$7,"&gt;="&amp;Fin.Qtr!S$8,Fin.Mth!$L$7:$AI$7,"&lt;="&amp;Fin.Qtr!S$7)</f>
        <v>0.75</v>
      </c>
      <c r="T35" s="100"/>
      <c r="U35" s="99">
        <f t="shared" ca="1" si="12"/>
        <v>0.75</v>
      </c>
      <c r="V35" s="99">
        <f t="shared" ca="1" si="13"/>
        <v>0.75</v>
      </c>
    </row>
    <row r="36" spans="1:22" x14ac:dyDescent="0.55000000000000004">
      <c r="B36" s="4" t="s">
        <v>206</v>
      </c>
      <c r="F36" s="96" t="s">
        <v>30</v>
      </c>
      <c r="L36" s="97"/>
      <c r="M36" s="100">
        <f ca="1">AVERAGEIFS(Fin.Mth!$L36:$AI36,Fin.Mth!$L$7:$AI$7,"&gt;="&amp;Fin.Qtr!M$8,Fin.Mth!$L$7:$AI$7,"&lt;="&amp;Fin.Qtr!M$7)</f>
        <v>1</v>
      </c>
      <c r="N36" s="100">
        <f ca="1">AVERAGEIFS(Fin.Mth!$L36:$AI36,Fin.Mth!$L$7:$AI$7,"&gt;="&amp;Fin.Qtr!N$8,Fin.Mth!$L$7:$AI$7,"&lt;="&amp;Fin.Qtr!N$7)</f>
        <v>1</v>
      </c>
      <c r="O36" s="100">
        <f ca="1">AVERAGEIFS(Fin.Mth!$L36:$AI36,Fin.Mth!$L$7:$AI$7,"&gt;="&amp;Fin.Qtr!O$8,Fin.Mth!$L$7:$AI$7,"&lt;="&amp;Fin.Qtr!O$7)</f>
        <v>1</v>
      </c>
      <c r="P36" s="100">
        <f ca="1">AVERAGEIFS(Fin.Mth!$L36:$AI36,Fin.Mth!$L$7:$AI$7,"&gt;="&amp;Fin.Qtr!P$8,Fin.Mth!$L$7:$AI$7,"&lt;="&amp;Fin.Qtr!P$7)</f>
        <v>0.93586809207975652</v>
      </c>
      <c r="Q36" s="100">
        <f ca="1">AVERAGEIFS(Fin.Mth!$L36:$AI36,Fin.Mth!$L$7:$AI$7,"&gt;="&amp;Fin.Qtr!Q$8,Fin.Mth!$L$7:$AI$7,"&lt;="&amp;Fin.Qtr!Q$7)</f>
        <v>0.9867309186527673</v>
      </c>
      <c r="R36" s="100">
        <f ca="1">AVERAGEIFS(Fin.Mth!$L36:$AI36,Fin.Mth!$L$7:$AI$7,"&gt;="&amp;Fin.Qtr!R$8,Fin.Mth!$L$7:$AI$7,"&lt;="&amp;Fin.Qtr!R$7)</f>
        <v>0.98621813696893135</v>
      </c>
      <c r="S36" s="100">
        <f ca="1">AVERAGEIFS(Fin.Mth!$L36:$AI36,Fin.Mth!$L$7:$AI$7,"&gt;="&amp;Fin.Qtr!S$8,Fin.Mth!$L$7:$AI$7,"&lt;="&amp;Fin.Qtr!S$7)</f>
        <v>0.98566412443877527</v>
      </c>
      <c r="T36" s="100"/>
      <c r="U36" s="99">
        <f t="shared" ca="1" si="12"/>
        <v>1</v>
      </c>
      <c r="V36" s="99">
        <f t="shared" ca="1" si="13"/>
        <v>0.97362031803505755</v>
      </c>
    </row>
    <row r="38" spans="1:22" x14ac:dyDescent="0.55000000000000004">
      <c r="B38" s="4" t="s">
        <v>136</v>
      </c>
      <c r="F38" s="86" t="s">
        <v>41</v>
      </c>
      <c r="L38" s="87">
        <f ca="1">AVERAGEIFS(Fin.Mth!$L38:$AI38,Fin.Mth!$L$7:$AI$7,"&gt;="&amp;Fin.Qtr!L$8,Fin.Mth!$L$7:$AI$7,"&lt;="&amp;Fin.Qtr!L$7)</f>
        <v>7.333333333333333</v>
      </c>
      <c r="M38" s="87">
        <f ca="1">AVERAGEIFS(Fin.Mth!$L38:$AI38,Fin.Mth!$L$7:$AI$7,"&gt;="&amp;Fin.Qtr!M$8,Fin.Mth!$L$7:$AI$7,"&lt;="&amp;Fin.Qtr!M$7)</f>
        <v>10.333333333333334</v>
      </c>
      <c r="N38" s="87">
        <f ca="1">AVERAGEIFS(Fin.Mth!$L38:$AI38,Fin.Mth!$L$7:$AI$7,"&gt;="&amp;Fin.Qtr!N$8,Fin.Mth!$L$7:$AI$7,"&lt;="&amp;Fin.Qtr!N$7)</f>
        <v>11.333333333333334</v>
      </c>
      <c r="O38" s="87">
        <f ca="1">AVERAGEIFS(Fin.Mth!$L38:$AI38,Fin.Mth!$L$7:$AI$7,"&gt;="&amp;Fin.Qtr!O$8,Fin.Mth!$L$7:$AI$7,"&lt;="&amp;Fin.Qtr!O$7)</f>
        <v>13</v>
      </c>
      <c r="P38" s="87">
        <f ca="1">AVERAGEIFS(Fin.Mth!$L38:$AI38,Fin.Mth!$L$7:$AI$7,"&gt;="&amp;Fin.Qtr!P$8,Fin.Mth!$L$7:$AI$7,"&lt;="&amp;Fin.Qtr!P$7)</f>
        <v>13</v>
      </c>
      <c r="Q38" s="87">
        <f ca="1">AVERAGEIFS(Fin.Mth!$L38:$AI38,Fin.Mth!$L$7:$AI$7,"&gt;="&amp;Fin.Qtr!Q$8,Fin.Mth!$L$7:$AI$7,"&lt;="&amp;Fin.Qtr!Q$7)</f>
        <v>15</v>
      </c>
      <c r="R38" s="87">
        <f ca="1">AVERAGEIFS(Fin.Mth!$L38:$AI38,Fin.Mth!$L$7:$AI$7,"&gt;="&amp;Fin.Qtr!R$8,Fin.Mth!$L$7:$AI$7,"&lt;="&amp;Fin.Qtr!R$7)</f>
        <v>16.666666666666668</v>
      </c>
      <c r="S38" s="87">
        <f ca="1">AVERAGEIFS(Fin.Mth!$L38:$AI38,Fin.Mth!$L$7:$AI$7,"&gt;="&amp;Fin.Qtr!S$8,Fin.Mth!$L$7:$AI$7,"&lt;="&amp;Fin.Qtr!S$7)</f>
        <v>18.666666666666668</v>
      </c>
      <c r="T38" s="87"/>
      <c r="U38" s="94">
        <f t="shared" ref="U38" ca="1" si="14">AVERAGE(L38:O38)</f>
        <v>10.5</v>
      </c>
      <c r="V38" s="94">
        <f t="shared" ref="V38" ca="1" si="15">AVERAGE(P38:S38)</f>
        <v>15.833333333333336</v>
      </c>
    </row>
    <row r="40" spans="1:22" x14ac:dyDescent="0.55000000000000004">
      <c r="A40" s="82" t="s">
        <v>10</v>
      </c>
      <c r="B40" s="83" t="s">
        <v>87</v>
      </c>
      <c r="C40" s="83"/>
      <c r="D40" s="83"/>
      <c r="E40" s="83"/>
      <c r="F40" s="84"/>
      <c r="G40" s="83"/>
      <c r="H40" s="85"/>
      <c r="I40" s="85"/>
      <c r="J40" s="85"/>
      <c r="K40" s="85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</row>
    <row r="41" spans="1:22" ht="3" customHeight="1" x14ac:dyDescent="0.55000000000000004"/>
    <row r="42" spans="1:22" x14ac:dyDescent="0.55000000000000004">
      <c r="B42" s="4" t="str">
        <f>Fin.Mth!B42</f>
        <v>Monthly Plan</v>
      </c>
      <c r="L42" s="93">
        <f ca="1">SUMIFS(Fin.Mth!$L42:$AI42,Fin.Mth!$L$7:$AI$7,"&gt;="&amp;Fin.Qtr!L$8,Fin.Mth!$L$7:$AI$7,"&lt;="&amp;Fin.Qtr!L$7)</f>
        <v>225.32203125000001</v>
      </c>
      <c r="M42" s="93">
        <f ca="1">SUMIFS(Fin.Mth!$L42:$AI42,Fin.Mth!$L$7:$AI$7,"&gt;="&amp;Fin.Qtr!M$8,Fin.Mth!$L$7:$AI$7,"&lt;="&amp;Fin.Qtr!M$7)</f>
        <v>247.79945900390624</v>
      </c>
      <c r="N42" s="93">
        <f ca="1">SUMIFS(Fin.Mth!$L42:$AI42,Fin.Mth!$L$7:$AI$7,"&gt;="&amp;Fin.Qtr!N$8,Fin.Mth!$L$7:$AI$7,"&lt;="&amp;Fin.Qtr!N$7)</f>
        <v>152.17984276077391</v>
      </c>
      <c r="O42" s="93">
        <f ca="1">SUMIFS(Fin.Mth!$L42:$AI42,Fin.Mth!$L$7:$AI$7,"&gt;="&amp;Fin.Qtr!O$8,Fin.Mth!$L$7:$AI$7,"&lt;="&amp;Fin.Qtr!O$7)</f>
        <v>93.457445935460271</v>
      </c>
      <c r="P42" s="93">
        <f ca="1">SUMIFS(Fin.Mth!$L42:$AI42,Fin.Mth!$L$7:$AI$7,"&gt;="&amp;Fin.Qtr!P$8,Fin.Mth!$L$7:$AI$7,"&lt;="&amp;Fin.Qtr!P$7)</f>
        <v>57.394553985114555</v>
      </c>
      <c r="Q42" s="93">
        <f ca="1">SUMIFS(Fin.Mth!$L42:$AI42,Fin.Mth!$L$7:$AI$7,"&gt;="&amp;Fin.Qtr!Q$8,Fin.Mth!$L$7:$AI$7,"&lt;="&amp;Fin.Qtr!Q$7)</f>
        <v>35.247430466108469</v>
      </c>
      <c r="R42" s="93">
        <f ca="1">SUMIFS(Fin.Mth!$L42:$AI42,Fin.Mth!$L$7:$AI$7,"&gt;="&amp;Fin.Qtr!R$8,Fin.Mth!$L$7:$AI$7,"&lt;="&amp;Fin.Qtr!R$7)</f>
        <v>21.646328234998869</v>
      </c>
      <c r="S42" s="93">
        <f ca="1">SUMIFS(Fin.Mth!$L42:$AI42,Fin.Mth!$L$7:$AI$7,"&gt;="&amp;Fin.Qtr!S$8,Fin.Mth!$L$7:$AI$7,"&lt;="&amp;Fin.Qtr!S$7)</f>
        <v>13.293551327318681</v>
      </c>
      <c r="T42" s="93"/>
      <c r="U42" s="93">
        <f t="shared" ref="U42:U43" ca="1" si="16">SUM(L42:O42)</f>
        <v>718.75877895014037</v>
      </c>
      <c r="V42" s="93">
        <f t="shared" ref="V42:V43" ca="1" si="17">SUM(P42:S42)</f>
        <v>127.58186401354058</v>
      </c>
    </row>
    <row r="43" spans="1:22" x14ac:dyDescent="0.55000000000000004">
      <c r="B43" s="4" t="str">
        <f>Fin.Mth!B43</f>
        <v>Annual Plan</v>
      </c>
      <c r="L43" s="93">
        <f ca="1">SUMIFS(Fin.Mth!$L43:$AI43,Fin.Mth!$L$7:$AI$7,"&gt;="&amp;Fin.Qtr!L$8,Fin.Mth!$L$7:$AI$7,"&lt;="&amp;Fin.Qtr!L$7)</f>
        <v>243.29250000000002</v>
      </c>
      <c r="M43" s="93">
        <f ca="1">SUMIFS(Fin.Mth!$L43:$AI43,Fin.Mth!$L$7:$AI$7,"&gt;="&amp;Fin.Qtr!M$8,Fin.Mth!$L$7:$AI$7,"&lt;="&amp;Fin.Qtr!M$7)</f>
        <v>449.74260849375003</v>
      </c>
      <c r="N43" s="93">
        <f ca="1">SUMIFS(Fin.Mth!$L43:$AI43,Fin.Mth!$L$7:$AI$7,"&gt;="&amp;Fin.Qtr!N$8,Fin.Mth!$L$7:$AI$7,"&lt;="&amp;Fin.Qtr!N$7)</f>
        <v>550.95403433700903</v>
      </c>
      <c r="O43" s="93">
        <f ca="1">SUMIFS(Fin.Mth!$L43:$AI43,Fin.Mth!$L$7:$AI$7,"&gt;="&amp;Fin.Qtr!O$8,Fin.Mth!$L$7:$AI$7,"&lt;="&amp;Fin.Qtr!O$7)</f>
        <v>674.94238308631247</v>
      </c>
      <c r="P43" s="93">
        <f ca="1">SUMIFS(Fin.Mth!$L43:$AI43,Fin.Mth!$L$7:$AI$7,"&gt;="&amp;Fin.Qtr!P$8,Fin.Mth!$L$7:$AI$7,"&lt;="&amp;Fin.Qtr!P$7)</f>
        <v>579.6747874438305</v>
      </c>
      <c r="Q43" s="93">
        <f ca="1">SUMIFS(Fin.Mth!$L43:$AI43,Fin.Mth!$L$7:$AI$7,"&gt;="&amp;Fin.Qtr!Q$8,Fin.Mth!$L$7:$AI$7,"&lt;="&amp;Fin.Qtr!Q$7)</f>
        <v>532.3689317361775</v>
      </c>
      <c r="R43" s="93">
        <f ca="1">SUMIFS(Fin.Mth!$L43:$AI43,Fin.Mth!$L$7:$AI$7,"&gt;="&amp;Fin.Qtr!R$8,Fin.Mth!$L$7:$AI$7,"&lt;="&amp;Fin.Qtr!R$7)</f>
        <v>614.32892527474178</v>
      </c>
      <c r="S43" s="93">
        <f ca="1">SUMIFS(Fin.Mth!$L43:$AI43,Fin.Mth!$L$7:$AI$7,"&gt;="&amp;Fin.Qtr!S$8,Fin.Mth!$L$7:$AI$7,"&lt;="&amp;Fin.Qtr!S$7)</f>
        <v>706.21648497278102</v>
      </c>
      <c r="T43" s="93"/>
      <c r="U43" s="93">
        <f t="shared" ca="1" si="16"/>
        <v>1918.9315259170717</v>
      </c>
      <c r="V43" s="93">
        <f t="shared" ca="1" si="17"/>
        <v>2432.5891294275307</v>
      </c>
    </row>
    <row r="44" spans="1:22" x14ac:dyDescent="0.55000000000000004">
      <c r="B44" s="101" t="str">
        <f>Fin.Mth!B44</f>
        <v>Total Revenue</v>
      </c>
      <c r="C44" s="101"/>
      <c r="D44" s="101"/>
      <c r="E44" s="101"/>
      <c r="F44" s="102" t="s">
        <v>41</v>
      </c>
      <c r="G44" s="101"/>
      <c r="H44" s="103"/>
      <c r="I44" s="103"/>
      <c r="J44" s="103"/>
      <c r="K44" s="103"/>
      <c r="L44" s="104">
        <f ca="1">SUMIFS(Fin.Mth!$L44:$AI44,Fin.Mth!$L$7:$AI$7,"&gt;="&amp;Fin.Qtr!L$8,Fin.Mth!$L$7:$AI$7,"&lt;="&amp;Fin.Qtr!L$7)</f>
        <v>468.61453125000003</v>
      </c>
      <c r="M44" s="104">
        <f ca="1">SUMIFS(Fin.Mth!$L44:$AI44,Fin.Mth!$L$7:$AI$7,"&gt;="&amp;Fin.Qtr!M$8,Fin.Mth!$L$7:$AI$7,"&lt;="&amp;Fin.Qtr!M$7)</f>
        <v>697.54206749765626</v>
      </c>
      <c r="N44" s="104">
        <f ca="1">SUMIFS(Fin.Mth!$L44:$AI44,Fin.Mth!$L$7:$AI$7,"&gt;="&amp;Fin.Qtr!N$8,Fin.Mth!$L$7:$AI$7,"&lt;="&amp;Fin.Qtr!N$7)</f>
        <v>703.13387709778294</v>
      </c>
      <c r="O44" s="104">
        <f ca="1">SUMIFS(Fin.Mth!$L44:$AI44,Fin.Mth!$L$7:$AI$7,"&gt;="&amp;Fin.Qtr!O$8,Fin.Mth!$L$7:$AI$7,"&lt;="&amp;Fin.Qtr!O$7)</f>
        <v>768.3998290217728</v>
      </c>
      <c r="P44" s="104">
        <f ca="1">SUMIFS(Fin.Mth!$L44:$AI44,Fin.Mth!$L$7:$AI$7,"&gt;="&amp;Fin.Qtr!P$8,Fin.Mth!$L$7:$AI$7,"&lt;="&amp;Fin.Qtr!P$7)</f>
        <v>637.06934142894499</v>
      </c>
      <c r="Q44" s="104">
        <f ca="1">SUMIFS(Fin.Mth!$L44:$AI44,Fin.Mth!$L$7:$AI$7,"&gt;="&amp;Fin.Qtr!Q$8,Fin.Mth!$L$7:$AI$7,"&lt;="&amp;Fin.Qtr!Q$7)</f>
        <v>567.61636220228593</v>
      </c>
      <c r="R44" s="104">
        <f ca="1">SUMIFS(Fin.Mth!$L44:$AI44,Fin.Mth!$L$7:$AI$7,"&gt;="&amp;Fin.Qtr!R$8,Fin.Mth!$L$7:$AI$7,"&lt;="&amp;Fin.Qtr!R$7)</f>
        <v>635.97525350974058</v>
      </c>
      <c r="S44" s="104">
        <f ca="1">SUMIFS(Fin.Mth!$L44:$AI44,Fin.Mth!$L$7:$AI$7,"&gt;="&amp;Fin.Qtr!S$8,Fin.Mth!$L$7:$AI$7,"&lt;="&amp;Fin.Qtr!S$7)</f>
        <v>719.51003630009961</v>
      </c>
      <c r="T44" s="93"/>
      <c r="U44" s="104">
        <f ca="1">SUM(L44:O44)</f>
        <v>2637.690304867212</v>
      </c>
      <c r="V44" s="104">
        <f ca="1">SUM(P44:S44)</f>
        <v>2560.170993441071</v>
      </c>
    </row>
    <row r="45" spans="1:22" x14ac:dyDescent="0.55000000000000004">
      <c r="B45" s="4" t="str">
        <f>Fin.Mth!B45</f>
        <v>COGS</v>
      </c>
      <c r="F45" s="86" t="s">
        <v>41</v>
      </c>
      <c r="L45" s="87">
        <f ca="1">SUMIFS(Fin.Mth!$L45:$AI45,Fin.Mth!$L$7:$AI$7,"&gt;="&amp;Fin.Qtr!L$8,Fin.Mth!$L$7:$AI$7,"&lt;="&amp;Fin.Qtr!L$7)</f>
        <v>-123.63682500000002</v>
      </c>
      <c r="M45" s="87">
        <f ca="1">SUMIFS(Fin.Mth!$L45:$AI45,Fin.Mth!$L$7:$AI$7,"&gt;="&amp;Fin.Qtr!M$8,Fin.Mth!$L$7:$AI$7,"&lt;="&amp;Fin.Qtr!M$7)</f>
        <v>-112.105407436875</v>
      </c>
      <c r="N45" s="87">
        <f ca="1">SUMIFS(Fin.Mth!$L45:$AI45,Fin.Mth!$L$7:$AI$7,"&gt;="&amp;Fin.Qtr!N$8,Fin.Mth!$L$7:$AI$7,"&lt;="&amp;Fin.Qtr!N$7)</f>
        <v>-107.76424546097192</v>
      </c>
      <c r="O45" s="87">
        <f ca="1">SUMIFS(Fin.Mth!$L45:$AI45,Fin.Mth!$L$7:$AI$7,"&gt;="&amp;Fin.Qtr!O$8,Fin.Mth!$L$7:$AI$7,"&lt;="&amp;Fin.Qtr!O$7)</f>
        <v>-117.14072972348919</v>
      </c>
      <c r="P45" s="87">
        <f ca="1">SUMIFS(Fin.Mth!$L45:$AI45,Fin.Mth!$L$7:$AI$7,"&gt;="&amp;Fin.Qtr!P$8,Fin.Mth!$L$7:$AI$7,"&lt;="&amp;Fin.Qtr!P$7)</f>
        <v>-83.808075172340025</v>
      </c>
      <c r="Q45" s="87">
        <f ca="1">SUMIFS(Fin.Mth!$L45:$AI45,Fin.Mth!$L$7:$AI$7,"&gt;="&amp;Fin.Qtr!Q$8,Fin.Mth!$L$7:$AI$7,"&lt;="&amp;Fin.Qtr!Q$7)</f>
        <v>-77.559437645736779</v>
      </c>
      <c r="R45" s="87">
        <f ca="1">SUMIFS(Fin.Mth!$L45:$AI45,Fin.Mth!$L$7:$AI$7,"&gt;="&amp;Fin.Qtr!R$8,Fin.Mth!$L$7:$AI$7,"&lt;="&amp;Fin.Qtr!R$7)</f>
        <v>-87.446561577724282</v>
      </c>
      <c r="S45" s="87">
        <f ca="1">SUMIFS(Fin.Mth!$L45:$AI45,Fin.Mth!$L$7:$AI$7,"&gt;="&amp;Fin.Qtr!S$8,Fin.Mth!$L$7:$AI$7,"&lt;="&amp;Fin.Qtr!S$7)</f>
        <v>-99.67846411298973</v>
      </c>
      <c r="T45" s="87"/>
      <c r="U45" s="93">
        <f t="shared" ref="U45:U53" ca="1" si="18">SUM(L45:O45)</f>
        <v>-460.64720762133612</v>
      </c>
      <c r="V45" s="93">
        <f t="shared" ref="V45:V53" ca="1" si="19">SUM(P45:S45)</f>
        <v>-348.49253850879086</v>
      </c>
    </row>
    <row r="46" spans="1:22" s="72" customFormat="1" x14ac:dyDescent="0.55000000000000004">
      <c r="A46" s="71"/>
      <c r="B46" s="88" t="str">
        <f>Fin.Mth!B46</f>
        <v>Gross Profit</v>
      </c>
      <c r="C46" s="88"/>
      <c r="D46" s="88"/>
      <c r="E46" s="88"/>
      <c r="F46" s="89" t="s">
        <v>41</v>
      </c>
      <c r="G46" s="88"/>
      <c r="H46" s="90"/>
      <c r="I46" s="90"/>
      <c r="J46" s="90"/>
      <c r="K46" s="90"/>
      <c r="L46" s="91">
        <f ca="1">SUMIFS(Fin.Mth!$L46:$AI46,Fin.Mth!$L$7:$AI$7,"&gt;="&amp;Fin.Qtr!L$8,Fin.Mth!$L$7:$AI$7,"&lt;="&amp;Fin.Qtr!L$7)</f>
        <v>344.97770625000004</v>
      </c>
      <c r="M46" s="91">
        <f ca="1">SUMIFS(Fin.Mth!$L46:$AI46,Fin.Mth!$L$7:$AI$7,"&gt;="&amp;Fin.Qtr!M$8,Fin.Mth!$L$7:$AI$7,"&lt;="&amp;Fin.Qtr!M$7)</f>
        <v>585.43666006078126</v>
      </c>
      <c r="N46" s="91">
        <f ca="1">SUMIFS(Fin.Mth!$L46:$AI46,Fin.Mth!$L$7:$AI$7,"&gt;="&amp;Fin.Qtr!N$8,Fin.Mth!$L$7:$AI$7,"&lt;="&amp;Fin.Qtr!N$7)</f>
        <v>595.36963163681094</v>
      </c>
      <c r="O46" s="91">
        <f ca="1">SUMIFS(Fin.Mth!$L46:$AI46,Fin.Mth!$L$7:$AI$7,"&gt;="&amp;Fin.Qtr!O$8,Fin.Mth!$L$7:$AI$7,"&lt;="&amp;Fin.Qtr!O$7)</f>
        <v>651.25909929828367</v>
      </c>
      <c r="P46" s="91">
        <f ca="1">SUMIFS(Fin.Mth!$L46:$AI46,Fin.Mth!$L$7:$AI$7,"&gt;="&amp;Fin.Qtr!P$8,Fin.Mth!$L$7:$AI$7,"&lt;="&amp;Fin.Qtr!P$7)</f>
        <v>553.26126625660504</v>
      </c>
      <c r="Q46" s="91">
        <f ca="1">SUMIFS(Fin.Mth!$L46:$AI46,Fin.Mth!$L$7:$AI$7,"&gt;="&amp;Fin.Qtr!Q$8,Fin.Mth!$L$7:$AI$7,"&lt;="&amp;Fin.Qtr!Q$7)</f>
        <v>490.05692455654923</v>
      </c>
      <c r="R46" s="91">
        <f ca="1">SUMIFS(Fin.Mth!$L46:$AI46,Fin.Mth!$L$7:$AI$7,"&gt;="&amp;Fin.Qtr!R$8,Fin.Mth!$L$7:$AI$7,"&lt;="&amp;Fin.Qtr!R$7)</f>
        <v>548.52869193201627</v>
      </c>
      <c r="S46" s="91">
        <f ca="1">SUMIFS(Fin.Mth!$L46:$AI46,Fin.Mth!$L$7:$AI$7,"&gt;="&amp;Fin.Qtr!S$8,Fin.Mth!$L$7:$AI$7,"&lt;="&amp;Fin.Qtr!S$7)</f>
        <v>619.83157218710994</v>
      </c>
      <c r="T46" s="92"/>
      <c r="U46" s="91">
        <f t="shared" ca="1" si="18"/>
        <v>2177.0430972458762</v>
      </c>
      <c r="V46" s="91">
        <f t="shared" ca="1" si="19"/>
        <v>2211.6784549322801</v>
      </c>
    </row>
    <row r="47" spans="1:22" x14ac:dyDescent="0.55000000000000004">
      <c r="B47" s="105" t="str">
        <f>Fin.Mth!B47</f>
        <v>% margin</v>
      </c>
      <c r="F47" s="86" t="s">
        <v>30</v>
      </c>
      <c r="L47" s="106">
        <f ca="1">L46/L44</f>
        <v>0.73616519174041306</v>
      </c>
      <c r="M47" s="106">
        <f t="shared" ref="M47:S47" ca="1" si="20">M46/M44</f>
        <v>0.83928509453338218</v>
      </c>
      <c r="N47" s="106">
        <f t="shared" ca="1" si="20"/>
        <v>0.84673723031839421</v>
      </c>
      <c r="O47" s="106">
        <f t="shared" ca="1" si="20"/>
        <v>0.84755237403863359</v>
      </c>
      <c r="P47" s="106">
        <f t="shared" ca="1" si="20"/>
        <v>0.86844748330792587</v>
      </c>
      <c r="Q47" s="106">
        <f t="shared" ca="1" si="20"/>
        <v>0.86335940467816141</v>
      </c>
      <c r="R47" s="106">
        <f t="shared" ca="1" si="20"/>
        <v>0.8625000562598385</v>
      </c>
      <c r="S47" s="106">
        <f t="shared" ca="1" si="20"/>
        <v>0.86146341387319458</v>
      </c>
      <c r="T47" s="106"/>
      <c r="U47" s="106">
        <f t="shared" ref="U47" ca="1" si="21">U46/U44</f>
        <v>0.82535963120032552</v>
      </c>
      <c r="V47" s="106">
        <f t="shared" ref="V47" ca="1" si="22">V46/V44</f>
        <v>0.86387919424069815</v>
      </c>
    </row>
    <row r="48" spans="1:22" x14ac:dyDescent="0.55000000000000004">
      <c r="B48" s="4" t="str">
        <f>Fin.Mth!B48</f>
        <v>Headcount Costs</v>
      </c>
      <c r="F48" s="86" t="s">
        <v>41</v>
      </c>
      <c r="L48" s="87">
        <f ca="1">SUMIFS(Fin.Mth!$L48:$AI48,Fin.Mth!$L$7:$AI$7,"&gt;="&amp;Fin.Qtr!L$8,Fin.Mth!$L$7:$AI$7,"&lt;="&amp;Fin.Qtr!L$7)</f>
        <v>-284.625</v>
      </c>
      <c r="M48" s="87">
        <f ca="1">SUMIFS(Fin.Mth!$L48:$AI48,Fin.Mth!$L$7:$AI$7,"&gt;="&amp;Fin.Qtr!M$8,Fin.Mth!$L$7:$AI$7,"&lt;="&amp;Fin.Qtr!M$7)</f>
        <v>-414</v>
      </c>
      <c r="N48" s="87">
        <f ca="1">SUMIFS(Fin.Mth!$L48:$AI48,Fin.Mth!$L$7:$AI$7,"&gt;="&amp;Fin.Qtr!N$8,Fin.Mth!$L$7:$AI$7,"&lt;="&amp;Fin.Qtr!N$7)</f>
        <v>-465.75</v>
      </c>
      <c r="O48" s="87">
        <f ca="1">SUMIFS(Fin.Mth!$L48:$AI48,Fin.Mth!$L$7:$AI$7,"&gt;="&amp;Fin.Qtr!O$8,Fin.Mth!$L$7:$AI$7,"&lt;="&amp;Fin.Qtr!O$7)</f>
        <v>-562.12</v>
      </c>
      <c r="P48" s="87">
        <f ca="1">SUMIFS(Fin.Mth!$L48:$AI48,Fin.Mth!$L$7:$AI$7,"&gt;="&amp;Fin.Qtr!P$8,Fin.Mth!$L$7:$AI$7,"&lt;="&amp;Fin.Qtr!P$7)</f>
        <v>-599.2650000000001</v>
      </c>
      <c r="Q48" s="87">
        <f ca="1">SUMIFS(Fin.Mth!$L48:$AI48,Fin.Mth!$L$7:$AI$7,"&gt;="&amp;Fin.Qtr!Q$8,Fin.Mth!$L$7:$AI$7,"&lt;="&amp;Fin.Qtr!Q$7)</f>
        <v>-692.41500000000019</v>
      </c>
      <c r="R48" s="87">
        <f ca="1">SUMIFS(Fin.Mth!$L48:$AI48,Fin.Mth!$L$7:$AI$7,"&gt;="&amp;Fin.Qtr!R$8,Fin.Mth!$L$7:$AI$7,"&lt;="&amp;Fin.Qtr!R$7)</f>
        <v>-776.25</v>
      </c>
      <c r="S48" s="87">
        <f ca="1">SUMIFS(Fin.Mth!$L48:$AI48,Fin.Mth!$L$7:$AI$7,"&gt;="&amp;Fin.Qtr!S$8,Fin.Mth!$L$7:$AI$7,"&lt;="&amp;Fin.Qtr!S$7)</f>
        <v>-869.4</v>
      </c>
      <c r="T48" s="87"/>
      <c r="U48" s="93">
        <f t="shared" ca="1" si="18"/>
        <v>-1726.4949999999999</v>
      </c>
      <c r="V48" s="93">
        <f t="shared" ca="1" si="19"/>
        <v>-2937.3300000000004</v>
      </c>
    </row>
    <row r="49" spans="1:22" x14ac:dyDescent="0.55000000000000004">
      <c r="B49" s="4" t="str">
        <f>Fin.Mth!B49</f>
        <v>G&amp;A</v>
      </c>
      <c r="F49" s="86" t="s">
        <v>41</v>
      </c>
      <c r="L49" s="87">
        <f ca="1">SUMIFS(Fin.Mth!$L49:$AI49,Fin.Mth!$L$7:$AI$7,"&gt;="&amp;Fin.Qtr!L$8,Fin.Mth!$L$7:$AI$7,"&lt;="&amp;Fin.Qtr!L$7)</f>
        <v>-61.400000000000006</v>
      </c>
      <c r="M49" s="87">
        <f ca="1">SUMIFS(Fin.Mth!$L49:$AI49,Fin.Mth!$L$7:$AI$7,"&gt;="&amp;Fin.Qtr!M$8,Fin.Mth!$L$7:$AI$7,"&lt;="&amp;Fin.Qtr!M$7)</f>
        <v>-65.698000000000008</v>
      </c>
      <c r="N49" s="87">
        <f ca="1">SUMIFS(Fin.Mth!$L49:$AI49,Fin.Mth!$L$7:$AI$7,"&gt;="&amp;Fin.Qtr!N$8,Fin.Mth!$L$7:$AI$7,"&lt;="&amp;Fin.Qtr!N$7)</f>
        <v>-70.296860000000009</v>
      </c>
      <c r="O49" s="87">
        <f ca="1">SUMIFS(Fin.Mth!$L49:$AI49,Fin.Mth!$L$7:$AI$7,"&gt;="&amp;Fin.Qtr!O$8,Fin.Mth!$L$7:$AI$7,"&lt;="&amp;Fin.Qtr!O$7)</f>
        <v>-75.217640200000019</v>
      </c>
      <c r="P49" s="87">
        <f ca="1">SUMIFS(Fin.Mth!$L49:$AI49,Fin.Mth!$L$7:$AI$7,"&gt;="&amp;Fin.Qtr!P$8,Fin.Mth!$L$7:$AI$7,"&lt;="&amp;Fin.Qtr!P$7)</f>
        <v>-80.48287501400003</v>
      </c>
      <c r="Q49" s="87">
        <f ca="1">SUMIFS(Fin.Mth!$L49:$AI49,Fin.Mth!$L$7:$AI$7,"&gt;="&amp;Fin.Qtr!Q$8,Fin.Mth!$L$7:$AI$7,"&lt;="&amp;Fin.Qtr!Q$7)</f>
        <v>-86.116676264980043</v>
      </c>
      <c r="R49" s="87">
        <f ca="1">SUMIFS(Fin.Mth!$L49:$AI49,Fin.Mth!$L$7:$AI$7,"&gt;="&amp;Fin.Qtr!R$8,Fin.Mth!$L$7:$AI$7,"&lt;="&amp;Fin.Qtr!R$7)</f>
        <v>-92.144843603528656</v>
      </c>
      <c r="S49" s="87">
        <f ca="1">SUMIFS(Fin.Mth!$L49:$AI49,Fin.Mth!$L$7:$AI$7,"&gt;="&amp;Fin.Qtr!S$8,Fin.Mth!$L$7:$AI$7,"&lt;="&amp;Fin.Qtr!S$7)</f>
        <v>-98.594982655775681</v>
      </c>
      <c r="T49" s="87"/>
      <c r="U49" s="93">
        <f t="shared" ca="1" si="18"/>
        <v>-272.61250020000006</v>
      </c>
      <c r="V49" s="93">
        <f t="shared" ca="1" si="19"/>
        <v>-357.33937753828445</v>
      </c>
    </row>
    <row r="50" spans="1:22" x14ac:dyDescent="0.55000000000000004">
      <c r="B50" s="4" t="str">
        <f>Fin.Mth!B50</f>
        <v>S&amp;M</v>
      </c>
      <c r="F50" s="86" t="s">
        <v>41</v>
      </c>
      <c r="L50" s="87">
        <f ca="1">SUMIFS(Fin.Mth!$L50:$AI50,Fin.Mth!$L$7:$AI$7,"&gt;="&amp;Fin.Qtr!L$8,Fin.Mth!$L$7:$AI$7,"&lt;="&amp;Fin.Qtr!L$7)</f>
        <v>-1966.0000000000002</v>
      </c>
      <c r="M50" s="87">
        <f ca="1">SUMIFS(Fin.Mth!$L50:$AI50,Fin.Mth!$L$7:$AI$7,"&gt;="&amp;Fin.Qtr!M$8,Fin.Mth!$L$7:$AI$7,"&lt;="&amp;Fin.Qtr!M$7)</f>
        <v>-399.8114736875001</v>
      </c>
      <c r="N50" s="87">
        <f ca="1">SUMIFS(Fin.Mth!$L50:$AI50,Fin.Mth!$L$7:$AI$7,"&gt;="&amp;Fin.Qtr!N$8,Fin.Mth!$L$7:$AI$7,"&lt;="&amp;Fin.Qtr!N$7)</f>
        <v>-380.67983282127796</v>
      </c>
      <c r="O50" s="87">
        <f ca="1">SUMIFS(Fin.Mth!$L50:$AI50,Fin.Mth!$L$7:$AI$7,"&gt;="&amp;Fin.Qtr!O$8,Fin.Mth!$L$7:$AI$7,"&lt;="&amp;Fin.Qtr!O$7)</f>
        <v>-399.34418773276764</v>
      </c>
      <c r="P50" s="87">
        <f ca="1">SUMIFS(Fin.Mth!$L50:$AI50,Fin.Mth!$L$7:$AI$7,"&gt;="&amp;Fin.Qtr!P$8,Fin.Mth!$L$7:$AI$7,"&lt;="&amp;Fin.Qtr!P$7)</f>
        <v>-415.91289795307353</v>
      </c>
      <c r="Q50" s="87">
        <f ca="1">SUMIFS(Fin.Mth!$L50:$AI50,Fin.Mth!$L$7:$AI$7,"&gt;="&amp;Fin.Qtr!Q$8,Fin.Mth!$L$7:$AI$7,"&lt;="&amp;Fin.Qtr!Q$7)</f>
        <v>-433.67216478795353</v>
      </c>
      <c r="R50" s="87">
        <f ca="1">SUMIFS(Fin.Mth!$L50:$AI50,Fin.Mth!$L$7:$AI$7,"&gt;="&amp;Fin.Qtr!R$8,Fin.Mth!$L$7:$AI$7,"&lt;="&amp;Fin.Qtr!R$7)</f>
        <v>-497.13209530894255</v>
      </c>
      <c r="S50" s="87">
        <f ca="1">SUMIFS(Fin.Mth!$L50:$AI50,Fin.Mth!$L$7:$AI$7,"&gt;="&amp;Fin.Qtr!S$8,Fin.Mth!$L$7:$AI$7,"&lt;="&amp;Fin.Qtr!S$7)</f>
        <v>-576.67254104300184</v>
      </c>
      <c r="T50" s="87"/>
      <c r="U50" s="93">
        <f t="shared" ca="1" si="18"/>
        <v>-3145.8354942415463</v>
      </c>
      <c r="V50" s="93">
        <f t="shared" ca="1" si="19"/>
        <v>-1923.3896990929716</v>
      </c>
    </row>
    <row r="51" spans="1:22" x14ac:dyDescent="0.55000000000000004">
      <c r="B51" s="4" t="str">
        <f>Fin.Mth!B51</f>
        <v>Facilities Expense</v>
      </c>
      <c r="F51" s="86" t="s">
        <v>41</v>
      </c>
      <c r="L51" s="87">
        <f ca="1">SUMIFS(Fin.Mth!$L51:$AI51,Fin.Mth!$L$7:$AI$7,"&gt;="&amp;Fin.Qtr!L$8,Fin.Mth!$L$7:$AI$7,"&lt;="&amp;Fin.Qtr!L$7)</f>
        <v>-42</v>
      </c>
      <c r="M51" s="87">
        <f ca="1">SUMIFS(Fin.Mth!$L51:$AI51,Fin.Mth!$L$7:$AI$7,"&gt;="&amp;Fin.Qtr!M$8,Fin.Mth!$L$7:$AI$7,"&lt;="&amp;Fin.Qtr!M$7)</f>
        <v>-42</v>
      </c>
      <c r="N51" s="87">
        <f ca="1">SUMIFS(Fin.Mth!$L51:$AI51,Fin.Mth!$L$7:$AI$7,"&gt;="&amp;Fin.Qtr!N$8,Fin.Mth!$L$7:$AI$7,"&lt;="&amp;Fin.Qtr!N$7)</f>
        <v>-42</v>
      </c>
      <c r="O51" s="87">
        <f ca="1">SUMIFS(Fin.Mth!$L51:$AI51,Fin.Mth!$L$7:$AI$7,"&gt;="&amp;Fin.Qtr!O$8,Fin.Mth!$L$7:$AI$7,"&lt;="&amp;Fin.Qtr!O$7)</f>
        <v>-42</v>
      </c>
      <c r="P51" s="87">
        <f ca="1">SUMIFS(Fin.Mth!$L51:$AI51,Fin.Mth!$L$7:$AI$7,"&gt;="&amp;Fin.Qtr!P$8,Fin.Mth!$L$7:$AI$7,"&lt;="&amp;Fin.Qtr!P$7)</f>
        <v>-42</v>
      </c>
      <c r="Q51" s="87">
        <f ca="1">SUMIFS(Fin.Mth!$L51:$AI51,Fin.Mth!$L$7:$AI$7,"&gt;="&amp;Fin.Qtr!Q$8,Fin.Mth!$L$7:$AI$7,"&lt;="&amp;Fin.Qtr!Q$7)</f>
        <v>-42</v>
      </c>
      <c r="R51" s="87">
        <f ca="1">SUMIFS(Fin.Mth!$L51:$AI51,Fin.Mth!$L$7:$AI$7,"&gt;="&amp;Fin.Qtr!R$8,Fin.Mth!$L$7:$AI$7,"&lt;="&amp;Fin.Qtr!R$7)</f>
        <v>-42</v>
      </c>
      <c r="S51" s="87">
        <f ca="1">SUMIFS(Fin.Mth!$L51:$AI51,Fin.Mth!$L$7:$AI$7,"&gt;="&amp;Fin.Qtr!S$8,Fin.Mth!$L$7:$AI$7,"&lt;="&amp;Fin.Qtr!S$7)</f>
        <v>-56</v>
      </c>
      <c r="T51" s="87"/>
      <c r="U51" s="93">
        <f t="shared" ca="1" si="18"/>
        <v>-168</v>
      </c>
      <c r="V51" s="93">
        <f t="shared" ca="1" si="19"/>
        <v>-182</v>
      </c>
    </row>
    <row r="52" spans="1:22" x14ac:dyDescent="0.55000000000000004">
      <c r="B52" s="4" t="str">
        <f>Fin.Mth!B52</f>
        <v>Miscellaneous</v>
      </c>
      <c r="F52" s="86" t="s">
        <v>41</v>
      </c>
      <c r="L52" s="87">
        <f ca="1">SUMIFS(Fin.Mth!$L52:$AI52,Fin.Mth!$L$7:$AI$7,"&gt;="&amp;Fin.Qtr!L$8,Fin.Mth!$L$7:$AI$7,"&lt;="&amp;Fin.Qtr!L$7)</f>
        <v>-23.430726562500002</v>
      </c>
      <c r="M52" s="87">
        <f ca="1">SUMIFS(Fin.Mth!$L52:$AI52,Fin.Mth!$L$7:$AI$7,"&gt;="&amp;Fin.Qtr!M$8,Fin.Mth!$L$7:$AI$7,"&lt;="&amp;Fin.Qtr!M$7)</f>
        <v>-34.877103374882815</v>
      </c>
      <c r="N52" s="87">
        <f ca="1">SUMIFS(Fin.Mth!$L52:$AI52,Fin.Mth!$L$7:$AI$7,"&gt;="&amp;Fin.Qtr!N$8,Fin.Mth!$L$7:$AI$7,"&lt;="&amp;Fin.Qtr!N$7)</f>
        <v>-35.156693854889149</v>
      </c>
      <c r="O52" s="87">
        <f ca="1">SUMIFS(Fin.Mth!$L52:$AI52,Fin.Mth!$L$7:$AI$7,"&gt;="&amp;Fin.Qtr!O$8,Fin.Mth!$L$7:$AI$7,"&lt;="&amp;Fin.Qtr!O$7)</f>
        <v>-38.419991451088642</v>
      </c>
      <c r="P52" s="87">
        <f ca="1">SUMIFS(Fin.Mth!$L52:$AI52,Fin.Mth!$L$7:$AI$7,"&gt;="&amp;Fin.Qtr!P$8,Fin.Mth!$L$7:$AI$7,"&lt;="&amp;Fin.Qtr!P$7)</f>
        <v>-31.853467071447255</v>
      </c>
      <c r="Q52" s="87">
        <f ca="1">SUMIFS(Fin.Mth!$L52:$AI52,Fin.Mth!$L$7:$AI$7,"&gt;="&amp;Fin.Qtr!Q$8,Fin.Mth!$L$7:$AI$7,"&lt;="&amp;Fin.Qtr!Q$7)</f>
        <v>-28.380818110114301</v>
      </c>
      <c r="R52" s="87">
        <f ca="1">SUMIFS(Fin.Mth!$L52:$AI52,Fin.Mth!$L$7:$AI$7,"&gt;="&amp;Fin.Qtr!R$8,Fin.Mth!$L$7:$AI$7,"&lt;="&amp;Fin.Qtr!R$7)</f>
        <v>-31.798762675487033</v>
      </c>
      <c r="S52" s="87">
        <f ca="1">SUMIFS(Fin.Mth!$L52:$AI52,Fin.Mth!$L$7:$AI$7,"&gt;="&amp;Fin.Qtr!S$8,Fin.Mth!$L$7:$AI$7,"&lt;="&amp;Fin.Qtr!S$7)</f>
        <v>-35.975501815004982</v>
      </c>
      <c r="T52" s="87"/>
      <c r="U52" s="93">
        <f t="shared" ca="1" si="18"/>
        <v>-131.8845152433606</v>
      </c>
      <c r="V52" s="93">
        <f t="shared" ca="1" si="19"/>
        <v>-128.00854967205356</v>
      </c>
    </row>
    <row r="53" spans="1:22" s="72" customFormat="1" x14ac:dyDescent="0.55000000000000004">
      <c r="A53" s="71"/>
      <c r="B53" s="88" t="str">
        <f>Fin.Mth!B53</f>
        <v>EBITDA</v>
      </c>
      <c r="C53" s="88"/>
      <c r="D53" s="88"/>
      <c r="E53" s="88"/>
      <c r="F53" s="89" t="s">
        <v>41</v>
      </c>
      <c r="G53" s="88"/>
      <c r="H53" s="90"/>
      <c r="I53" s="90"/>
      <c r="J53" s="90"/>
      <c r="K53" s="90"/>
      <c r="L53" s="91">
        <f ca="1">SUMIFS(Fin.Mth!$L53:$AI53,Fin.Mth!$L$7:$AI$7,"&gt;="&amp;Fin.Qtr!L$8,Fin.Mth!$L$7:$AI$7,"&lt;="&amp;Fin.Qtr!L$7)</f>
        <v>-2032.4780203125001</v>
      </c>
      <c r="M53" s="91">
        <f ca="1">SUMIFS(Fin.Mth!$L53:$AI53,Fin.Mth!$L$7:$AI$7,"&gt;="&amp;Fin.Qtr!M$8,Fin.Mth!$L$7:$AI$7,"&lt;="&amp;Fin.Qtr!M$7)</f>
        <v>-370.94991700160159</v>
      </c>
      <c r="N53" s="91">
        <f ca="1">SUMIFS(Fin.Mth!$L53:$AI53,Fin.Mth!$L$7:$AI$7,"&gt;="&amp;Fin.Qtr!N$8,Fin.Mth!$L$7:$AI$7,"&lt;="&amp;Fin.Qtr!N$7)</f>
        <v>-398.51375503935611</v>
      </c>
      <c r="O53" s="91">
        <f ca="1">SUMIFS(Fin.Mth!$L53:$AI53,Fin.Mth!$L$7:$AI$7,"&gt;="&amp;Fin.Qtr!O$8,Fin.Mth!$L$7:$AI$7,"&lt;="&amp;Fin.Qtr!O$7)</f>
        <v>-465.84272008557269</v>
      </c>
      <c r="P53" s="91">
        <f ca="1">SUMIFS(Fin.Mth!$L53:$AI53,Fin.Mth!$L$7:$AI$7,"&gt;="&amp;Fin.Qtr!P$8,Fin.Mth!$L$7:$AI$7,"&lt;="&amp;Fin.Qtr!P$7)</f>
        <v>-616.2529737819159</v>
      </c>
      <c r="Q53" s="91">
        <f ca="1">SUMIFS(Fin.Mth!$L53:$AI53,Fin.Mth!$L$7:$AI$7,"&gt;="&amp;Fin.Qtr!Q$8,Fin.Mth!$L$7:$AI$7,"&lt;="&amp;Fin.Qtr!Q$7)</f>
        <v>-792.52773460649871</v>
      </c>
      <c r="R53" s="91">
        <f ca="1">SUMIFS(Fin.Mth!$L53:$AI53,Fin.Mth!$L$7:$AI$7,"&gt;="&amp;Fin.Qtr!R$8,Fin.Mth!$L$7:$AI$7,"&lt;="&amp;Fin.Qtr!R$7)</f>
        <v>-890.79700965594191</v>
      </c>
      <c r="S53" s="91">
        <f ca="1">SUMIFS(Fin.Mth!$L53:$AI53,Fin.Mth!$L$7:$AI$7,"&gt;="&amp;Fin.Qtr!S$8,Fin.Mth!$L$7:$AI$7,"&lt;="&amp;Fin.Qtr!S$7)</f>
        <v>-1016.8114533266726</v>
      </c>
      <c r="T53" s="92"/>
      <c r="U53" s="91">
        <f t="shared" ca="1" si="18"/>
        <v>-3267.7844124390303</v>
      </c>
      <c r="V53" s="91">
        <f t="shared" ca="1" si="19"/>
        <v>-3316.3891713710291</v>
      </c>
    </row>
    <row r="54" spans="1:22" x14ac:dyDescent="0.55000000000000004">
      <c r="B54" s="105" t="str">
        <f>Fin.Mth!B54</f>
        <v>% margin</v>
      </c>
      <c r="F54" s="86" t="s">
        <v>30</v>
      </c>
      <c r="L54" s="106">
        <f ca="1">L53/L44</f>
        <v>-4.3372065626966192</v>
      </c>
      <c r="M54" s="106">
        <f t="shared" ref="M54:S54" ca="1" si="23">M53/M44</f>
        <v>-0.53179576442226262</v>
      </c>
      <c r="N54" s="106">
        <f t="shared" ca="1" si="23"/>
        <v>-0.56676796271606167</v>
      </c>
      <c r="O54" s="106">
        <f t="shared" ca="1" si="23"/>
        <v>-0.60625042131857754</v>
      </c>
      <c r="P54" s="106">
        <f t="shared" ca="1" si="23"/>
        <v>-0.96732480078175154</v>
      </c>
      <c r="Q54" s="106">
        <f t="shared" ca="1" si="23"/>
        <v>-1.3962383528402575</v>
      </c>
      <c r="R54" s="106">
        <f t="shared" ca="1" si="23"/>
        <v>-1.400678728834059</v>
      </c>
      <c r="S54" s="106">
        <f t="shared" ca="1" si="23"/>
        <v>-1.4131998193595341</v>
      </c>
      <c r="T54" s="106"/>
      <c r="U54" s="106">
        <f t="shared" ref="U54" ca="1" si="24">U53/U44</f>
        <v>-1.2388810037361604</v>
      </c>
      <c r="V54" s="106">
        <f t="shared" ref="V54" ca="1" si="25">V53/V44</f>
        <v>-1.2953779961835836</v>
      </c>
    </row>
    <row r="56" spans="1:22" x14ac:dyDescent="0.55000000000000004">
      <c r="A56" s="82" t="s">
        <v>10</v>
      </c>
      <c r="B56" s="83" t="s">
        <v>88</v>
      </c>
      <c r="C56" s="83"/>
      <c r="D56" s="83"/>
      <c r="E56" s="83"/>
      <c r="F56" s="84"/>
      <c r="G56" s="83"/>
      <c r="H56" s="85"/>
      <c r="I56" s="85"/>
      <c r="J56" s="85"/>
      <c r="K56" s="85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</row>
    <row r="57" spans="1:22" ht="3" customHeight="1" x14ac:dyDescent="0.55000000000000004"/>
    <row r="58" spans="1:22" x14ac:dyDescent="0.55000000000000004">
      <c r="B58" s="4" t="s">
        <v>100</v>
      </c>
      <c r="F58" s="86" t="s">
        <v>41</v>
      </c>
      <c r="L58" s="107">
        <f ca="1">SUMIFS(Fin.Mth!$L58:$AI58,Fin.Mth!$L$7:$AI$7,"&gt;="&amp;Fin.Qtr!L$8,Fin.Mth!$L$7:$AI$7,"&lt;="&amp;Fin.Qtr!L$7)</f>
        <v>-2032.4780203125001</v>
      </c>
      <c r="M58" s="107">
        <f ca="1">SUMIFS(Fin.Mth!$L58:$AI58,Fin.Mth!$L$7:$AI$7,"&gt;="&amp;Fin.Qtr!M$8,Fin.Mth!$L$7:$AI$7,"&lt;="&amp;Fin.Qtr!M$7)</f>
        <v>-370.94991700160159</v>
      </c>
      <c r="N58" s="107">
        <f ca="1">SUMIFS(Fin.Mth!$L58:$AI58,Fin.Mth!$L$7:$AI$7,"&gt;="&amp;Fin.Qtr!N$8,Fin.Mth!$L$7:$AI$7,"&lt;="&amp;Fin.Qtr!N$7)</f>
        <v>-398.51375503935611</v>
      </c>
      <c r="O58" s="107">
        <f ca="1">SUMIFS(Fin.Mth!$L58:$AI58,Fin.Mth!$L$7:$AI$7,"&gt;="&amp;Fin.Qtr!O$8,Fin.Mth!$L$7:$AI$7,"&lt;="&amp;Fin.Qtr!O$7)</f>
        <v>-465.84272008557269</v>
      </c>
      <c r="P58" s="107">
        <f ca="1">SUMIFS(Fin.Mth!$L58:$AI58,Fin.Mth!$L$7:$AI$7,"&gt;="&amp;Fin.Qtr!P$8,Fin.Mth!$L$7:$AI$7,"&lt;="&amp;Fin.Qtr!P$7)</f>
        <v>-616.2529737819159</v>
      </c>
      <c r="Q58" s="107">
        <f ca="1">SUMIFS(Fin.Mth!$L58:$AI58,Fin.Mth!$L$7:$AI$7,"&gt;="&amp;Fin.Qtr!Q$8,Fin.Mth!$L$7:$AI$7,"&lt;="&amp;Fin.Qtr!Q$7)</f>
        <v>-792.52773460649871</v>
      </c>
      <c r="R58" s="107">
        <f ca="1">SUMIFS(Fin.Mth!$L58:$AI58,Fin.Mth!$L$7:$AI$7,"&gt;="&amp;Fin.Qtr!R$8,Fin.Mth!$L$7:$AI$7,"&lt;="&amp;Fin.Qtr!R$7)</f>
        <v>-890.79700965594191</v>
      </c>
      <c r="S58" s="107">
        <f ca="1">SUMIFS(Fin.Mth!$L58:$AI58,Fin.Mth!$L$7:$AI$7,"&gt;="&amp;Fin.Qtr!S$8,Fin.Mth!$L$7:$AI$7,"&lt;="&amp;Fin.Qtr!S$7)</f>
        <v>-1016.8114533266726</v>
      </c>
      <c r="T58" s="107"/>
      <c r="U58" s="93">
        <f t="shared" ref="U58:U59" ca="1" si="26">SUM(L58:O58)</f>
        <v>-3267.7844124390303</v>
      </c>
      <c r="V58" s="93">
        <f t="shared" ref="V58:V59" ca="1" si="27">SUM(P58:S58)</f>
        <v>-3316.3891713710291</v>
      </c>
    </row>
    <row r="59" spans="1:22" x14ac:dyDescent="0.55000000000000004">
      <c r="B59" s="4" t="s">
        <v>101</v>
      </c>
      <c r="F59" s="86" t="s">
        <v>41</v>
      </c>
      <c r="L59" s="87">
        <f ca="1">SUMIFS(Fin.Mth!$L59:$AI59,Fin.Mth!$L$7:$AI$7,"&gt;="&amp;Fin.Qtr!L$8,Fin.Mth!$L$7:$AI$7,"&lt;="&amp;Fin.Qtr!L$7)</f>
        <v>338.36543219178083</v>
      </c>
      <c r="M59" s="87">
        <f ca="1">SUMIFS(Fin.Mth!$L59:$AI59,Fin.Mth!$L$7:$AI$7,"&gt;="&amp;Fin.Qtr!M$8,Fin.Mth!$L$7:$AI$7,"&lt;="&amp;Fin.Qtr!M$7)</f>
        <v>3.9950725726292262</v>
      </c>
      <c r="N59" s="87">
        <f ca="1">SUMIFS(Fin.Mth!$L59:$AI59,Fin.Mth!$L$7:$AI$7,"&gt;="&amp;Fin.Qtr!N$8,Fin.Mth!$L$7:$AI$7,"&lt;="&amp;Fin.Qtr!N$7)</f>
        <v>7.9568035398005463</v>
      </c>
      <c r="O59" s="87">
        <f ca="1">SUMIFS(Fin.Mth!$L59:$AI59,Fin.Mth!$L$7:$AI$7,"&gt;="&amp;Fin.Qtr!O$8,Fin.Mth!$L$7:$AI$7,"&lt;="&amp;Fin.Qtr!O$7)</f>
        <v>34.157019451311498</v>
      </c>
      <c r="P59" s="87">
        <f ca="1">SUMIFS(Fin.Mth!$L59:$AI59,Fin.Mth!$L$7:$AI$7,"&gt;="&amp;Fin.Qtr!P$8,Fin.Mth!$L$7:$AI$7,"&lt;="&amp;Fin.Qtr!P$7)</f>
        <v>-120.86777550497453</v>
      </c>
      <c r="Q59" s="87">
        <f ca="1">SUMIFS(Fin.Mth!$L59:$AI59,Fin.Mth!$L$7:$AI$7,"&gt;="&amp;Fin.Qtr!Q$8,Fin.Mth!$L$7:$AI$7,"&lt;="&amp;Fin.Qtr!Q$7)</f>
        <v>9.6144072037488968</v>
      </c>
      <c r="R59" s="87">
        <f ca="1">SUMIFS(Fin.Mth!$L59:$AI59,Fin.Mth!$L$7:$AI$7,"&gt;="&amp;Fin.Qtr!R$8,Fin.Mth!$L$7:$AI$7,"&lt;="&amp;Fin.Qtr!R$7)</f>
        <v>28.972675961806033</v>
      </c>
      <c r="S59" s="87">
        <f ca="1">SUMIFS(Fin.Mth!$L59:$AI59,Fin.Mth!$L$7:$AI$7,"&gt;="&amp;Fin.Qtr!S$8,Fin.Mth!$L$7:$AI$7,"&lt;="&amp;Fin.Qtr!S$7)</f>
        <v>34.297246098734888</v>
      </c>
      <c r="T59" s="87"/>
      <c r="U59" s="93">
        <f t="shared" ca="1" si="26"/>
        <v>384.4743277555221</v>
      </c>
      <c r="V59" s="93">
        <f t="shared" ca="1" si="27"/>
        <v>-47.983446240684714</v>
      </c>
    </row>
    <row r="60" spans="1:22" x14ac:dyDescent="0.55000000000000004">
      <c r="B60" s="4" t="s">
        <v>102</v>
      </c>
      <c r="F60" s="86" t="s">
        <v>41</v>
      </c>
      <c r="L60" s="97"/>
      <c r="M60" s="97"/>
      <c r="N60" s="97"/>
      <c r="O60" s="97"/>
      <c r="P60" s="97"/>
      <c r="Q60" s="97"/>
      <c r="R60" s="97"/>
      <c r="S60" s="97"/>
      <c r="T60" s="87"/>
      <c r="U60" s="97"/>
      <c r="V60" s="97"/>
    </row>
    <row r="61" spans="1:22" x14ac:dyDescent="0.55000000000000004">
      <c r="B61" s="4" t="s">
        <v>103</v>
      </c>
      <c r="F61" s="86" t="s">
        <v>41</v>
      </c>
      <c r="L61" s="107">
        <f ca="1">SUMIFS(Fin.Mth!$L61:$AI61,Fin.Mth!$L$7:$AI$7,"&gt;="&amp;Fin.Qtr!L$8,Fin.Mth!$L$7:$AI$7,"&lt;="&amp;Fin.Qtr!L$7)</f>
        <v>1216.4625000000001</v>
      </c>
      <c r="M61" s="107">
        <f ca="1">SUMIFS(Fin.Mth!$L61:$AI61,Fin.Mth!$L$7:$AI$7,"&gt;="&amp;Fin.Qtr!M$8,Fin.Mth!$L$7:$AI$7,"&lt;="&amp;Fin.Qtr!M$7)</f>
        <v>12.466915931250014</v>
      </c>
      <c r="N61" s="107">
        <f ca="1">SUMIFS(Fin.Mth!$L61:$AI61,Fin.Mth!$L$7:$AI$7,"&gt;="&amp;Fin.Qtr!N$8,Fin.Mth!$L$7:$AI$7,"&lt;="&amp;Fin.Qtr!N$7)</f>
        <v>-118.42937186683366</v>
      </c>
      <c r="O61" s="107">
        <f ca="1">SUMIFS(Fin.Mth!$L61:$AI61,Fin.Mth!$L$7:$AI$7,"&gt;="&amp;Fin.Qtr!O$8,Fin.Mth!$L$7:$AI$7,"&lt;="&amp;Fin.Qtr!O$7)</f>
        <v>-145.08107299986159</v>
      </c>
      <c r="P61" s="107">
        <f ca="1">SUMIFS(Fin.Mth!$L61:$AI61,Fin.Mth!$L$7:$AI$7,"&gt;="&amp;Fin.Qtr!P$8,Fin.Mth!$L$7:$AI$7,"&lt;="&amp;Fin.Qtr!P$7)</f>
        <v>32.968692885905625</v>
      </c>
      <c r="Q61" s="107">
        <f ca="1">SUMIFS(Fin.Mth!$L61:$AI61,Fin.Mth!$L$7:$AI$7,"&gt;="&amp;Fin.Qtr!Q$8,Fin.Mth!$L$7:$AI$7,"&lt;="&amp;Fin.Qtr!Q$7)</f>
        <v>125.64368531465345</v>
      </c>
      <c r="R61" s="107">
        <f ca="1">SUMIFS(Fin.Mth!$L61:$AI61,Fin.Mth!$L$7:$AI$7,"&gt;="&amp;Fin.Qtr!R$8,Fin.Mth!$L$7:$AI$7,"&lt;="&amp;Fin.Qtr!R$7)</f>
        <v>158.99262071526687</v>
      </c>
      <c r="S61" s="107">
        <f ca="1">SUMIFS(Fin.Mth!$L61:$AI61,Fin.Mth!$L$7:$AI$7,"&gt;="&amp;Fin.Qtr!S$8,Fin.Mth!$L$7:$AI$7,"&lt;="&amp;Fin.Qtr!S$7)</f>
        <v>204.73864646589254</v>
      </c>
      <c r="T61" s="107"/>
      <c r="U61" s="93">
        <f t="shared" ref="U61:U62" ca="1" si="28">SUM(L61:O61)</f>
        <v>965.41897106455485</v>
      </c>
      <c r="V61" s="93">
        <f t="shared" ref="V61:V62" ca="1" si="29">SUM(P61:S61)</f>
        <v>522.34364538171849</v>
      </c>
    </row>
    <row r="62" spans="1:22" s="72" customFormat="1" x14ac:dyDescent="0.55000000000000004">
      <c r="A62" s="71"/>
      <c r="B62" s="88" t="s">
        <v>105</v>
      </c>
      <c r="C62" s="88"/>
      <c r="D62" s="88"/>
      <c r="E62" s="88"/>
      <c r="F62" s="89" t="s">
        <v>41</v>
      </c>
      <c r="G62" s="88"/>
      <c r="H62" s="90"/>
      <c r="I62" s="90"/>
      <c r="J62" s="90"/>
      <c r="K62" s="90"/>
      <c r="L62" s="108">
        <f ca="1">SUMIFS(Fin.Mth!$L62:$AI62,Fin.Mth!$L$7:$AI$7,"&gt;="&amp;Fin.Qtr!L$8,Fin.Mth!$L$7:$AI$7,"&lt;="&amp;Fin.Qtr!L$7)</f>
        <v>-477.65008812071909</v>
      </c>
      <c r="M62" s="108">
        <f ca="1">SUMIFS(Fin.Mth!$L62:$AI62,Fin.Mth!$L$7:$AI$7,"&gt;="&amp;Fin.Qtr!M$8,Fin.Mth!$L$7:$AI$7,"&lt;="&amp;Fin.Qtr!M$7)</f>
        <v>-354.48792849772235</v>
      </c>
      <c r="N62" s="108">
        <f ca="1">SUMIFS(Fin.Mth!$L62:$AI62,Fin.Mth!$L$7:$AI$7,"&gt;="&amp;Fin.Qtr!N$8,Fin.Mth!$L$7:$AI$7,"&lt;="&amp;Fin.Qtr!N$7)</f>
        <v>-508.98632336638923</v>
      </c>
      <c r="O62" s="108">
        <f ca="1">SUMIFS(Fin.Mth!$L62:$AI62,Fin.Mth!$L$7:$AI$7,"&gt;="&amp;Fin.Qtr!O$8,Fin.Mth!$L$7:$AI$7,"&lt;="&amp;Fin.Qtr!O$7)</f>
        <v>-576.76677363412273</v>
      </c>
      <c r="P62" s="108">
        <f ca="1">SUMIFS(Fin.Mth!$L62:$AI62,Fin.Mth!$L$7:$AI$7,"&gt;="&amp;Fin.Qtr!P$8,Fin.Mth!$L$7:$AI$7,"&lt;="&amp;Fin.Qtr!P$7)</f>
        <v>-704.15205640098475</v>
      </c>
      <c r="Q62" s="108">
        <f ca="1">SUMIFS(Fin.Mth!$L62:$AI62,Fin.Mth!$L$7:$AI$7,"&gt;="&amp;Fin.Qtr!Q$8,Fin.Mth!$L$7:$AI$7,"&lt;="&amp;Fin.Qtr!Q$7)</f>
        <v>-657.26964208809636</v>
      </c>
      <c r="R62" s="108">
        <f ca="1">SUMIFS(Fin.Mth!$L62:$AI62,Fin.Mth!$L$7:$AI$7,"&gt;="&amp;Fin.Qtr!R$8,Fin.Mth!$L$7:$AI$7,"&lt;="&amp;Fin.Qtr!R$7)</f>
        <v>-702.83171297886906</v>
      </c>
      <c r="S62" s="108">
        <f ca="1">SUMIFS(Fin.Mth!$L62:$AI62,Fin.Mth!$L$7:$AI$7,"&gt;="&amp;Fin.Qtr!S$8,Fin.Mth!$L$7:$AI$7,"&lt;="&amp;Fin.Qtr!S$7)</f>
        <v>-777.77556076204519</v>
      </c>
      <c r="T62" s="109"/>
      <c r="U62" s="91">
        <f t="shared" ca="1" si="28"/>
        <v>-1917.8911136189536</v>
      </c>
      <c r="V62" s="91">
        <f t="shared" ca="1" si="29"/>
        <v>-2842.0289722299954</v>
      </c>
    </row>
    <row r="64" spans="1:22" x14ac:dyDescent="0.55000000000000004">
      <c r="B64" s="72" t="s">
        <v>106</v>
      </c>
    </row>
    <row r="65" spans="1:22" x14ac:dyDescent="0.55000000000000004">
      <c r="B65" s="4" t="s">
        <v>15</v>
      </c>
      <c r="F65" s="86" t="s">
        <v>41</v>
      </c>
      <c r="L65" s="107">
        <f>K68</f>
        <v>3000</v>
      </c>
      <c r="M65" s="107">
        <f t="shared" ref="M65:S65" ca="1" si="30">L68</f>
        <v>2522.3499118792811</v>
      </c>
      <c r="N65" s="107">
        <f t="shared" ca="1" si="30"/>
        <v>2167.8619833815587</v>
      </c>
      <c r="O65" s="107">
        <f t="shared" ca="1" si="30"/>
        <v>1658.8756600151696</v>
      </c>
      <c r="P65" s="107">
        <f t="shared" ca="1" si="30"/>
        <v>4342.0289722299949</v>
      </c>
      <c r="Q65" s="107">
        <f t="shared" ca="1" si="30"/>
        <v>3637.8769158290102</v>
      </c>
      <c r="R65" s="107">
        <f t="shared" ca="1" si="30"/>
        <v>2980.607273740914</v>
      </c>
      <c r="S65" s="107">
        <f t="shared" ca="1" si="30"/>
        <v>2277.7755607620447</v>
      </c>
      <c r="T65" s="107"/>
      <c r="U65" s="107">
        <f>K68</f>
        <v>3000</v>
      </c>
      <c r="V65" s="107">
        <f ca="1">U68</f>
        <v>1082.1088863810464</v>
      </c>
    </row>
    <row r="66" spans="1:22" x14ac:dyDescent="0.55000000000000004">
      <c r="B66" s="4" t="s">
        <v>104</v>
      </c>
      <c r="F66" s="86" t="s">
        <v>41</v>
      </c>
      <c r="L66" s="93">
        <f ca="1">SUMIFS(Fin.Mth!$L66:$AI66,Fin.Mth!$L$7:$AI$7,"&gt;="&amp;Fin.Qtr!L$8,Fin.Mth!$L$7:$AI$7,"&lt;="&amp;Fin.Qtr!L$7)</f>
        <v>-477.65008812071909</v>
      </c>
      <c r="M66" s="93">
        <f ca="1">SUMIFS(Fin.Mth!$L66:$AI66,Fin.Mth!$L$7:$AI$7,"&gt;="&amp;Fin.Qtr!M$8,Fin.Mth!$L$7:$AI$7,"&lt;="&amp;Fin.Qtr!M$7)</f>
        <v>-354.48792849772235</v>
      </c>
      <c r="N66" s="93">
        <f ca="1">SUMIFS(Fin.Mth!$L66:$AI66,Fin.Mth!$L$7:$AI$7,"&gt;="&amp;Fin.Qtr!N$8,Fin.Mth!$L$7:$AI$7,"&lt;="&amp;Fin.Qtr!N$7)</f>
        <v>-508.98632336638923</v>
      </c>
      <c r="O66" s="93">
        <f ca="1">SUMIFS(Fin.Mth!$L66:$AI66,Fin.Mth!$L$7:$AI$7,"&gt;="&amp;Fin.Qtr!O$8,Fin.Mth!$L$7:$AI$7,"&lt;="&amp;Fin.Qtr!O$7)</f>
        <v>-576.76677363412273</v>
      </c>
      <c r="P66" s="93">
        <f ca="1">SUMIFS(Fin.Mth!$L66:$AI66,Fin.Mth!$L$7:$AI$7,"&gt;="&amp;Fin.Qtr!P$8,Fin.Mth!$L$7:$AI$7,"&lt;="&amp;Fin.Qtr!P$7)</f>
        <v>-704.15205640098475</v>
      </c>
      <c r="Q66" s="93">
        <f ca="1">SUMIFS(Fin.Mth!$L66:$AI66,Fin.Mth!$L$7:$AI$7,"&gt;="&amp;Fin.Qtr!Q$8,Fin.Mth!$L$7:$AI$7,"&lt;="&amp;Fin.Qtr!Q$7)</f>
        <v>-657.26964208809636</v>
      </c>
      <c r="R66" s="93">
        <f ca="1">SUMIFS(Fin.Mth!$L66:$AI66,Fin.Mth!$L$7:$AI$7,"&gt;="&amp;Fin.Qtr!R$8,Fin.Mth!$L$7:$AI$7,"&lt;="&amp;Fin.Qtr!R$7)</f>
        <v>-702.83171297886906</v>
      </c>
      <c r="S66" s="93">
        <f ca="1">SUMIFS(Fin.Mth!$L66:$AI66,Fin.Mth!$L$7:$AI$7,"&gt;="&amp;Fin.Qtr!S$8,Fin.Mth!$L$7:$AI$7,"&lt;="&amp;Fin.Qtr!S$7)</f>
        <v>-777.77556076204519</v>
      </c>
      <c r="T66" s="93"/>
      <c r="U66" s="93">
        <f ca="1">SUM(L66:O66)</f>
        <v>-1917.8911136189536</v>
      </c>
      <c r="V66" s="93">
        <f ca="1">SUM(P66:S66)</f>
        <v>-2842.0289722299954</v>
      </c>
    </row>
    <row r="67" spans="1:22" x14ac:dyDescent="0.55000000000000004">
      <c r="B67" s="4" t="s">
        <v>179</v>
      </c>
      <c r="F67" s="86" t="s">
        <v>41</v>
      </c>
      <c r="L67" s="93">
        <f ca="1">SUMIFS(Fin.Mth!$L67:$AI67,Fin.Mth!$L$7:$AI$7,"&gt;="&amp;Fin.Qtr!L$8,Fin.Mth!$L$7:$AI$7,"&lt;="&amp;Fin.Qtr!L$7)</f>
        <v>0</v>
      </c>
      <c r="M67" s="93">
        <f ca="1">SUMIFS(Fin.Mth!$L67:$AI67,Fin.Mth!$L$7:$AI$7,"&gt;="&amp;Fin.Qtr!M$8,Fin.Mth!$L$7:$AI$7,"&lt;="&amp;Fin.Qtr!M$7)</f>
        <v>0</v>
      </c>
      <c r="N67" s="93">
        <f ca="1">SUMIFS(Fin.Mth!$L67:$AI67,Fin.Mth!$L$7:$AI$7,"&gt;="&amp;Fin.Qtr!N$8,Fin.Mth!$L$7:$AI$7,"&lt;="&amp;Fin.Qtr!N$7)</f>
        <v>0</v>
      </c>
      <c r="O67" s="93">
        <f ca="1">SUMIFS(Fin.Mth!$L67:$AI67,Fin.Mth!$L$7:$AI$7,"&gt;="&amp;Fin.Qtr!O$8,Fin.Mth!$L$7:$AI$7,"&lt;="&amp;Fin.Qtr!O$7)</f>
        <v>3259.9200858489485</v>
      </c>
      <c r="P67" s="93">
        <f ca="1">SUMIFS(Fin.Mth!$L67:$AI67,Fin.Mth!$L$7:$AI$7,"&gt;="&amp;Fin.Qtr!P$8,Fin.Mth!$L$7:$AI$7,"&lt;="&amp;Fin.Qtr!P$7)</f>
        <v>0</v>
      </c>
      <c r="Q67" s="93">
        <f ca="1">SUMIFS(Fin.Mth!$L67:$AI67,Fin.Mth!$L$7:$AI$7,"&gt;="&amp;Fin.Qtr!Q$8,Fin.Mth!$L$7:$AI$7,"&lt;="&amp;Fin.Qtr!Q$7)</f>
        <v>0</v>
      </c>
      <c r="R67" s="93">
        <f ca="1">SUMIFS(Fin.Mth!$L67:$AI67,Fin.Mth!$L$7:$AI$7,"&gt;="&amp;Fin.Qtr!R$8,Fin.Mth!$L$7:$AI$7,"&lt;="&amp;Fin.Qtr!R$7)</f>
        <v>0</v>
      </c>
      <c r="S67" s="93">
        <f ca="1">SUMIFS(Fin.Mth!$L67:$AI67,Fin.Mth!$L$7:$AI$7,"&gt;="&amp;Fin.Qtr!S$8,Fin.Mth!$L$7:$AI$7,"&lt;="&amp;Fin.Qtr!S$7)</f>
        <v>0</v>
      </c>
      <c r="T67" s="93"/>
      <c r="U67" s="93">
        <f ca="1">SUM(L67:O67)</f>
        <v>3259.9200858489485</v>
      </c>
      <c r="V67" s="93">
        <f ca="1">SUM(P67:S67)</f>
        <v>0</v>
      </c>
    </row>
    <row r="68" spans="1:22" x14ac:dyDescent="0.55000000000000004">
      <c r="B68" s="88" t="s">
        <v>17</v>
      </c>
      <c r="C68" s="88"/>
      <c r="D68" s="88"/>
      <c r="E68" s="88"/>
      <c r="F68" s="89" t="s">
        <v>41</v>
      </c>
      <c r="G68" s="88"/>
      <c r="H68" s="90"/>
      <c r="I68" s="90"/>
      <c r="J68" s="90"/>
      <c r="K68" s="110">
        <v>3000</v>
      </c>
      <c r="L68" s="108">
        <f ca="1">SUM(L65:L67)</f>
        <v>2522.3499118792811</v>
      </c>
      <c r="M68" s="108">
        <f t="shared" ref="M68:S68" ca="1" si="31">SUM(M65:M67)</f>
        <v>2167.8619833815587</v>
      </c>
      <c r="N68" s="108">
        <f t="shared" ca="1" si="31"/>
        <v>1658.8756600151696</v>
      </c>
      <c r="O68" s="108">
        <f t="shared" ca="1" si="31"/>
        <v>4342.0289722299949</v>
      </c>
      <c r="P68" s="108">
        <f t="shared" ca="1" si="31"/>
        <v>3637.8769158290102</v>
      </c>
      <c r="Q68" s="108">
        <f t="shared" ca="1" si="31"/>
        <v>2980.607273740914</v>
      </c>
      <c r="R68" s="108">
        <f t="shared" ca="1" si="31"/>
        <v>2277.7755607620447</v>
      </c>
      <c r="S68" s="108">
        <f t="shared" ca="1" si="31"/>
        <v>1499.9999999999995</v>
      </c>
      <c r="T68" s="109"/>
      <c r="U68" s="108">
        <f ca="1">SUM(U65:U66)</f>
        <v>1082.1088863810464</v>
      </c>
      <c r="V68" s="108">
        <f ca="1">SUM(V65:V66)</f>
        <v>-1759.9200858489489</v>
      </c>
    </row>
    <row r="69" spans="1:22" x14ac:dyDescent="0.55000000000000004">
      <c r="B69" s="4" t="s">
        <v>190</v>
      </c>
      <c r="F69" s="86" t="s">
        <v>41</v>
      </c>
      <c r="L69" s="97"/>
      <c r="M69" s="97"/>
      <c r="N69" s="97"/>
      <c r="O69" s="97"/>
      <c r="P69" s="97"/>
      <c r="Q69" s="97"/>
      <c r="R69" s="97"/>
      <c r="S69" s="97"/>
      <c r="T69" s="87"/>
      <c r="U69" s="97"/>
      <c r="V69" s="97"/>
    </row>
    <row r="71" spans="1:22" x14ac:dyDescent="0.55000000000000004">
      <c r="A71" s="82" t="s">
        <v>10</v>
      </c>
      <c r="B71" s="83" t="s">
        <v>62</v>
      </c>
      <c r="C71" s="83"/>
      <c r="D71" s="83"/>
      <c r="E71" s="83"/>
      <c r="F71" s="84"/>
      <c r="G71" s="83"/>
      <c r="H71" s="85"/>
      <c r="I71" s="85"/>
      <c r="J71" s="85"/>
      <c r="K71" s="85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</row>
    <row r="72" spans="1:22" ht="3" customHeight="1" x14ac:dyDescent="0.55000000000000004"/>
    <row r="73" spans="1:22" x14ac:dyDescent="0.55000000000000004">
      <c r="B73" s="72" t="s">
        <v>107</v>
      </c>
    </row>
    <row r="74" spans="1:22" x14ac:dyDescent="0.55000000000000004">
      <c r="B74" s="4" t="s">
        <v>35</v>
      </c>
      <c r="F74" s="86" t="s">
        <v>41</v>
      </c>
      <c r="L74" s="93">
        <f ca="1">AVERAGEIFS(Fin.Mth!$L74:$AI74,Fin.Mth!$L$7:$AI$7,"&gt;="&amp;Fin.Qtr!L$8,Fin.Mth!$L$7:$AI$7,"&lt;="&amp;Fin.Qtr!L$7)</f>
        <v>2509.1940545876141</v>
      </c>
      <c r="M74" s="93">
        <f ca="1">AVERAGEIFS(Fin.Mth!$L74:$AI74,Fin.Mth!$L$7:$AI$7,"&gt;="&amp;Fin.Qtr!M$8,Fin.Mth!$L$7:$AI$7,"&lt;="&amp;Fin.Qtr!M$7)</f>
        <v>2336.3746087475333</v>
      </c>
      <c r="N74" s="93">
        <f ca="1">AVERAGEIFS(Fin.Mth!$L74:$AI74,Fin.Mth!$L$7:$AI$7,"&gt;="&amp;Fin.Qtr!N$8,Fin.Mth!$L$7:$AI$7,"&lt;="&amp;Fin.Qtr!N$7)</f>
        <v>1834.1073319277518</v>
      </c>
      <c r="O74" s="93">
        <f ca="1">AVERAGEIFS(Fin.Mth!$L74:$AI74,Fin.Mth!$L$7:$AI$7,"&gt;="&amp;Fin.Qtr!O$8,Fin.Mth!$L$7:$AI$7,"&lt;="&amp;Fin.Qtr!O$7)</f>
        <v>3463.641033832675</v>
      </c>
      <c r="P74" s="93">
        <f ca="1">AVERAGEIFS(Fin.Mth!$L74:$AI74,Fin.Mth!$L$7:$AI$7,"&gt;="&amp;Fin.Qtr!P$8,Fin.Mth!$L$7:$AI$7,"&lt;="&amp;Fin.Qtr!P$7)</f>
        <v>3871.1409121455431</v>
      </c>
      <c r="Q74" s="93">
        <f ca="1">AVERAGEIFS(Fin.Mth!$L74:$AI74,Fin.Mth!$L$7:$AI$7,"&gt;="&amp;Fin.Qtr!Q$8,Fin.Mth!$L$7:$AI$7,"&lt;="&amp;Fin.Qtr!Q$7)</f>
        <v>3207.4490925252089</v>
      </c>
      <c r="R74" s="93">
        <f ca="1">AVERAGEIFS(Fin.Mth!$L74:$AI74,Fin.Mth!$L$7:$AI$7,"&gt;="&amp;Fin.Qtr!R$8,Fin.Mth!$L$7:$AI$7,"&lt;="&amp;Fin.Qtr!R$7)</f>
        <v>2522.0974891483684</v>
      </c>
      <c r="S74" s="93">
        <f ca="1">AVERAGEIFS(Fin.Mth!$L74:$AI74,Fin.Mth!$L$7:$AI$7,"&gt;="&amp;Fin.Qtr!S$8,Fin.Mth!$L$7:$AI$7,"&lt;="&amp;Fin.Qtr!S$7)</f>
        <v>1773.8555030985299</v>
      </c>
      <c r="T74" s="93"/>
      <c r="U74" s="94">
        <f t="shared" ref="U74:U77" ca="1" si="32">AVERAGE(L74:O74)</f>
        <v>2535.8292572738937</v>
      </c>
      <c r="V74" s="94">
        <f t="shared" ref="V74:V77" ca="1" si="33">AVERAGE(P74:S74)</f>
        <v>2843.6357492294128</v>
      </c>
    </row>
    <row r="75" spans="1:22" x14ac:dyDescent="0.55000000000000004">
      <c r="B75" s="4" t="s">
        <v>65</v>
      </c>
      <c r="F75" s="86" t="s">
        <v>41</v>
      </c>
      <c r="L75" s="87">
        <f ca="1">AVERAGEIFS(Fin.Mth!$L75:$AI75,Fin.Mth!$L$7:$AI$7,"&gt;="&amp;Fin.Qtr!L$8,Fin.Mth!$L$7:$AI$7,"&lt;="&amp;Fin.Qtr!L$7)</f>
        <v>3.4236678082191787</v>
      </c>
      <c r="M75" s="87">
        <f ca="1">AVERAGEIFS(Fin.Mth!$L75:$AI75,Fin.Mth!$L$7:$AI$7,"&gt;="&amp;Fin.Qtr!M$8,Fin.Mth!$L$7:$AI$7,"&lt;="&amp;Fin.Qtr!M$7)</f>
        <v>5.0961977534075347</v>
      </c>
      <c r="N75" s="87">
        <f ca="1">AVERAGEIFS(Fin.Mth!$L75:$AI75,Fin.Mth!$L$7:$AI$7,"&gt;="&amp;Fin.Qtr!N$8,Fin.Mth!$L$7:$AI$7,"&lt;="&amp;Fin.Qtr!N$7)</f>
        <v>5.1370511568787798</v>
      </c>
      <c r="O75" s="87">
        <f ca="1">AVERAGEIFS(Fin.Mth!$L75:$AI75,Fin.Mth!$L$7:$AI$7,"&gt;="&amp;Fin.Qtr!O$8,Fin.Mth!$L$7:$AI$7,"&lt;="&amp;Fin.Qtr!O$7)</f>
        <v>5.6138800293828153</v>
      </c>
      <c r="P75" s="87">
        <f ca="1">AVERAGEIFS(Fin.Mth!$L75:$AI75,Fin.Mth!$L$7:$AI$7,"&gt;="&amp;Fin.Qtr!P$8,Fin.Mth!$L$7:$AI$7,"&lt;="&amp;Fin.Qtr!P$7)</f>
        <v>4.6543878825859002</v>
      </c>
      <c r="Q75" s="87">
        <f ca="1">AVERAGEIFS(Fin.Mth!$L75:$AI75,Fin.Mth!$L$7:$AI$7,"&gt;="&amp;Fin.Qtr!Q$8,Fin.Mth!$L$7:$AI$7,"&lt;="&amp;Fin.Qtr!Q$7)</f>
        <v>4.1469688562724087</v>
      </c>
      <c r="R75" s="87">
        <f ca="1">AVERAGEIFS(Fin.Mth!$L75:$AI75,Fin.Mth!$L$7:$AI$7,"&gt;="&amp;Fin.Qtr!R$8,Fin.Mth!$L$7:$AI$7,"&lt;="&amp;Fin.Qtr!R$7)</f>
        <v>4.6463945461898861</v>
      </c>
      <c r="S75" s="87">
        <f ca="1">AVERAGEIFS(Fin.Mth!$L75:$AI75,Fin.Mth!$L$7:$AI$7,"&gt;="&amp;Fin.Qtr!S$8,Fin.Mth!$L$7:$AI$7,"&lt;="&amp;Fin.Qtr!S$7)</f>
        <v>5.2566943291331487</v>
      </c>
      <c r="T75" s="87"/>
      <c r="U75" s="94">
        <f t="shared" ca="1" si="32"/>
        <v>4.8176991869720771</v>
      </c>
      <c r="V75" s="94">
        <f t="shared" ca="1" si="33"/>
        <v>4.6761114035453364</v>
      </c>
    </row>
    <row r="76" spans="1:22" x14ac:dyDescent="0.55000000000000004">
      <c r="B76" s="4" t="s">
        <v>108</v>
      </c>
      <c r="F76" s="86" t="s">
        <v>41</v>
      </c>
      <c r="L76" s="97"/>
      <c r="M76" s="97"/>
      <c r="N76" s="97"/>
      <c r="O76" s="97"/>
      <c r="P76" s="97"/>
      <c r="Q76" s="97"/>
      <c r="R76" s="97"/>
      <c r="S76" s="97"/>
      <c r="T76" s="87"/>
      <c r="U76" s="97"/>
      <c r="V76" s="97"/>
    </row>
    <row r="77" spans="1:22" x14ac:dyDescent="0.55000000000000004">
      <c r="B77" s="88" t="s">
        <v>9</v>
      </c>
      <c r="C77" s="88"/>
      <c r="D77" s="88"/>
      <c r="E77" s="88"/>
      <c r="F77" s="89" t="s">
        <v>41</v>
      </c>
      <c r="G77" s="88"/>
      <c r="H77" s="90"/>
      <c r="I77" s="90"/>
      <c r="J77" s="90"/>
      <c r="K77" s="90"/>
      <c r="L77" s="91">
        <f ca="1">SUM(L74:L76)</f>
        <v>2512.6177223958334</v>
      </c>
      <c r="M77" s="91">
        <f t="shared" ref="M77:S77" ca="1" si="34">SUM(M74:M76)</f>
        <v>2341.4708065009409</v>
      </c>
      <c r="N77" s="91">
        <f t="shared" ca="1" si="34"/>
        <v>1839.2443830846305</v>
      </c>
      <c r="O77" s="91">
        <f t="shared" ca="1" si="34"/>
        <v>3469.2549138620579</v>
      </c>
      <c r="P77" s="91">
        <f t="shared" ca="1" si="34"/>
        <v>3875.7953000281291</v>
      </c>
      <c r="Q77" s="91">
        <f t="shared" ca="1" si="34"/>
        <v>3211.5960613814814</v>
      </c>
      <c r="R77" s="91">
        <f t="shared" ca="1" si="34"/>
        <v>2526.7438836945585</v>
      </c>
      <c r="S77" s="91">
        <f t="shared" ca="1" si="34"/>
        <v>1779.112197427663</v>
      </c>
      <c r="T77" s="92"/>
      <c r="U77" s="95">
        <f t="shared" ca="1" si="32"/>
        <v>2540.646956460866</v>
      </c>
      <c r="V77" s="95">
        <f t="shared" ca="1" si="33"/>
        <v>2848.3118606329581</v>
      </c>
    </row>
    <row r="79" spans="1:22" x14ac:dyDescent="0.55000000000000004">
      <c r="B79" s="72" t="s">
        <v>114</v>
      </c>
    </row>
    <row r="80" spans="1:22" x14ac:dyDescent="0.55000000000000004">
      <c r="B80" s="4" t="s">
        <v>66</v>
      </c>
      <c r="F80" s="86" t="s">
        <v>41</v>
      </c>
      <c r="L80" s="87">
        <f ca="1">AVERAGEIFS(Fin.Mth!$L80:$AI80,Fin.Mth!$L$7:$AI$7,"&gt;="&amp;Fin.Qtr!L$8,Fin.Mth!$L$7:$AI$7,"&lt;="&amp;Fin.Qtr!L$7)</f>
        <v>93.722906250000008</v>
      </c>
      <c r="M80" s="87">
        <f ca="1">AVERAGEIFS(Fin.Mth!$L80:$AI80,Fin.Mth!$L$7:$AI$7,"&gt;="&amp;Fin.Qtr!M$8,Fin.Mth!$L$7:$AI$7,"&lt;="&amp;Fin.Qtr!M$7)</f>
        <v>139.50841349953126</v>
      </c>
      <c r="N80" s="87">
        <f ca="1">AVERAGEIFS(Fin.Mth!$L80:$AI80,Fin.Mth!$L$7:$AI$7,"&gt;="&amp;Fin.Qtr!N$8,Fin.Mth!$L$7:$AI$7,"&lt;="&amp;Fin.Qtr!N$7)</f>
        <v>140.62677541955659</v>
      </c>
      <c r="O80" s="87">
        <f ca="1">AVERAGEIFS(Fin.Mth!$L80:$AI80,Fin.Mth!$L$7:$AI$7,"&gt;="&amp;Fin.Qtr!O$8,Fin.Mth!$L$7:$AI$7,"&lt;="&amp;Fin.Qtr!O$7)</f>
        <v>153.67996580435457</v>
      </c>
      <c r="P80" s="87">
        <f ca="1">AVERAGEIFS(Fin.Mth!$L80:$AI80,Fin.Mth!$L$7:$AI$7,"&gt;="&amp;Fin.Qtr!P$8,Fin.Mth!$L$7:$AI$7,"&lt;="&amp;Fin.Qtr!P$7)</f>
        <v>127.41386828578902</v>
      </c>
      <c r="Q80" s="87">
        <f ca="1">AVERAGEIFS(Fin.Mth!$L80:$AI80,Fin.Mth!$L$7:$AI$7,"&gt;="&amp;Fin.Qtr!Q$8,Fin.Mth!$L$7:$AI$7,"&lt;="&amp;Fin.Qtr!Q$7)</f>
        <v>113.52327244045721</v>
      </c>
      <c r="R80" s="87">
        <f ca="1">AVERAGEIFS(Fin.Mth!$L80:$AI80,Fin.Mth!$L$7:$AI$7,"&gt;="&amp;Fin.Qtr!R$8,Fin.Mth!$L$7:$AI$7,"&lt;="&amp;Fin.Qtr!R$7)</f>
        <v>127.19505070194812</v>
      </c>
      <c r="S80" s="87">
        <f ca="1">AVERAGEIFS(Fin.Mth!$L80:$AI80,Fin.Mth!$L$7:$AI$7,"&gt;="&amp;Fin.Qtr!S$8,Fin.Mth!$L$7:$AI$7,"&lt;="&amp;Fin.Qtr!S$7)</f>
        <v>143.90200726001993</v>
      </c>
      <c r="T80" s="87"/>
      <c r="U80" s="94">
        <f t="shared" ref="U80:U83" ca="1" si="35">AVERAGE(L80:O80)</f>
        <v>131.8845152433606</v>
      </c>
      <c r="V80" s="94">
        <f t="shared" ref="V80:V83" ca="1" si="36">AVERAGE(P80:S80)</f>
        <v>128.00854967205356</v>
      </c>
    </row>
    <row r="81" spans="1:22" x14ac:dyDescent="0.55000000000000004">
      <c r="B81" s="4" t="s">
        <v>110</v>
      </c>
      <c r="F81" s="86" t="s">
        <v>41</v>
      </c>
      <c r="L81" s="87">
        <f ca="1">AVERAGEIFS(Fin.Mth!$L81:$AI81,Fin.Mth!$L$7:$AI$7,"&gt;="&amp;Fin.Qtr!L$8,Fin.Mth!$L$7:$AI$7,"&lt;="&amp;Fin.Qtr!L$7)</f>
        <v>840.26020833333348</v>
      </c>
      <c r="M81" s="87">
        <f ca="1">AVERAGEIFS(Fin.Mth!$L81:$AI81,Fin.Mth!$L$7:$AI$7,"&gt;="&amp;Fin.Qtr!M$8,Fin.Mth!$L$7:$AI$7,"&lt;="&amp;Fin.Qtr!M$7)</f>
        <v>1262.6063692687501</v>
      </c>
      <c r="N81" s="87">
        <f ca="1">AVERAGEIFS(Fin.Mth!$L81:$AI81,Fin.Mth!$L$7:$AI$7,"&gt;="&amp;Fin.Qtr!N$8,Fin.Mth!$L$7:$AI$7,"&lt;="&amp;Fin.Qtr!N$7)</f>
        <v>1151.7557600118473</v>
      </c>
      <c r="O81" s="87">
        <f ca="1">AVERAGEIFS(Fin.Mth!$L81:$AI81,Fin.Mth!$L$7:$AI$7,"&gt;="&amp;Fin.Qtr!O$8,Fin.Mth!$L$7:$AI$7,"&lt;="&amp;Fin.Qtr!O$7)</f>
        <v>1015.9589970959436</v>
      </c>
      <c r="P81" s="87">
        <f ca="1">AVERAGEIFS(Fin.Mth!$L81:$AI81,Fin.Mth!$L$7:$AI$7,"&gt;="&amp;Fin.Qtr!P$8,Fin.Mth!$L$7:$AI$7,"&lt;="&amp;Fin.Qtr!P$7)</f>
        <v>968.61197238294778</v>
      </c>
      <c r="Q81" s="87">
        <f ca="1">AVERAGEIFS(Fin.Mth!$L81:$AI81,Fin.Mth!$L$7:$AI$7,"&gt;="&amp;Fin.Qtr!Q$8,Fin.Mth!$L$7:$AI$7,"&lt;="&amp;Fin.Qtr!Q$7)</f>
        <v>1080.6422475600796</v>
      </c>
      <c r="R81" s="87">
        <f ca="1">AVERAGEIFS(Fin.Mth!$L81:$AI81,Fin.Mth!$L$7:$AI$7,"&gt;="&amp;Fin.Qtr!R$8,Fin.Mth!$L$7:$AI$7,"&lt;="&amp;Fin.Qtr!R$7)</f>
        <v>1227.0365339854468</v>
      </c>
      <c r="S81" s="87">
        <f ca="1">AVERAGEIFS(Fin.Mth!$L81:$AI81,Fin.Mth!$L$7:$AI$7,"&gt;="&amp;Fin.Qtr!S$8,Fin.Mth!$L$7:$AI$7,"&lt;="&amp;Fin.Qtr!S$7)</f>
        <v>1415.703925207398</v>
      </c>
      <c r="T81" s="87"/>
      <c r="U81" s="94">
        <f t="shared" ca="1" si="35"/>
        <v>1067.6453336774684</v>
      </c>
      <c r="V81" s="94">
        <f t="shared" ca="1" si="36"/>
        <v>1172.9986697839681</v>
      </c>
    </row>
    <row r="82" spans="1:22" x14ac:dyDescent="0.55000000000000004">
      <c r="B82" s="4" t="s">
        <v>67</v>
      </c>
      <c r="F82" s="86" t="s">
        <v>41</v>
      </c>
      <c r="L82" s="87">
        <f ca="1">AVERAGEIFS(Fin.Mth!$L82:$AI82,Fin.Mth!$L$7:$AI$7,"&gt;="&amp;Fin.Qtr!L$8,Fin.Mth!$L$7:$AI$7,"&lt;="&amp;Fin.Qtr!L$7)</f>
        <v>148.16881874999999</v>
      </c>
      <c r="M82" s="87">
        <f ca="1">AVERAGEIFS(Fin.Mth!$L82:$AI82,Fin.Mth!$L$7:$AI$7,"&gt;="&amp;Fin.Qtr!M$8,Fin.Mth!$L$7:$AI$7,"&lt;="&amp;Fin.Qtr!M$7)</f>
        <v>215.79504924491252</v>
      </c>
      <c r="N82" s="87">
        <f ca="1">AVERAGEIFS(Fin.Mth!$L82:$AI82,Fin.Mth!$L$7:$AI$7,"&gt;="&amp;Fin.Qtr!N$8,Fin.Mth!$L$7:$AI$7,"&lt;="&amp;Fin.Qtr!N$7)</f>
        <v>211.84111517934602</v>
      </c>
      <c r="O82" s="87">
        <f ca="1">AVERAGEIFS(Fin.Mth!$L82:$AI82,Fin.Mth!$L$7:$AI$7,"&gt;="&amp;Fin.Qtr!O$8,Fin.Mth!$L$7:$AI$7,"&lt;="&amp;Fin.Qtr!O$7)</f>
        <v>225.31346498234743</v>
      </c>
      <c r="P82" s="87">
        <f ca="1">AVERAGEIFS(Fin.Mth!$L82:$AI82,Fin.Mth!$L$7:$AI$7,"&gt;="&amp;Fin.Qtr!P$8,Fin.Mth!$L$7:$AI$7,"&lt;="&amp;Fin.Qtr!P$7)</f>
        <v>181.98885454217836</v>
      </c>
      <c r="Q82" s="87">
        <f ca="1">AVERAGEIFS(Fin.Mth!$L82:$AI82,Fin.Mth!$L$7:$AI$7,"&gt;="&amp;Fin.Qtr!Q$8,Fin.Mth!$L$7:$AI$7,"&lt;="&amp;Fin.Qtr!Q$7)</f>
        <v>157.36469131050345</v>
      </c>
      <c r="R82" s="87">
        <f ca="1">AVERAGEIFS(Fin.Mth!$L82:$AI82,Fin.Mth!$L$7:$AI$7,"&gt;="&amp;Fin.Qtr!R$8,Fin.Mth!$L$7:$AI$7,"&lt;="&amp;Fin.Qtr!R$7)</f>
        <v>171.22074044838038</v>
      </c>
      <c r="S82" s="87">
        <f ca="1">AVERAGEIFS(Fin.Mth!$L82:$AI82,Fin.Mth!$L$7:$AI$7,"&gt;="&amp;Fin.Qtr!S$8,Fin.Mth!$L$7:$AI$7,"&lt;="&amp;Fin.Qtr!S$7)</f>
        <v>187.95082589596882</v>
      </c>
      <c r="T82" s="87"/>
      <c r="U82" s="94">
        <f t="shared" ca="1" si="35"/>
        <v>200.27961203915149</v>
      </c>
      <c r="V82" s="94">
        <f t="shared" ca="1" si="36"/>
        <v>174.63127804925776</v>
      </c>
    </row>
    <row r="83" spans="1:22" x14ac:dyDescent="0.55000000000000004">
      <c r="B83" s="88" t="s">
        <v>9</v>
      </c>
      <c r="C83" s="88"/>
      <c r="D83" s="88"/>
      <c r="E83" s="88"/>
      <c r="F83" s="89" t="s">
        <v>41</v>
      </c>
      <c r="G83" s="88"/>
      <c r="H83" s="90"/>
      <c r="I83" s="90"/>
      <c r="J83" s="90"/>
      <c r="K83" s="90"/>
      <c r="L83" s="91">
        <f ca="1">AVERAGEIFS(Fin.Mth!$L83:$AI83,Fin.Mth!$L$7:$AI$7,"&gt;="&amp;Fin.Qtr!L$8,Fin.Mth!$L$7:$AI$7,"&lt;="&amp;Fin.Qtr!L$7)</f>
        <v>1082.1519333333335</v>
      </c>
      <c r="M83" s="91">
        <f ca="1">AVERAGEIFS(Fin.Mth!$L83:$AI83,Fin.Mth!$L$7:$AI$7,"&gt;="&amp;Fin.Qtr!M$8,Fin.Mth!$L$7:$AI$7,"&lt;="&amp;Fin.Qtr!M$7)</f>
        <v>1617.9098320131936</v>
      </c>
      <c r="N83" s="91">
        <f ca="1">AVERAGEIFS(Fin.Mth!$L83:$AI83,Fin.Mth!$L$7:$AI$7,"&gt;="&amp;Fin.Qtr!N$8,Fin.Mth!$L$7:$AI$7,"&lt;="&amp;Fin.Qtr!N$7)</f>
        <v>1504.2236506107499</v>
      </c>
      <c r="O83" s="91">
        <f ca="1">AVERAGEIFS(Fin.Mth!$L83:$AI83,Fin.Mth!$L$7:$AI$7,"&gt;="&amp;Fin.Qtr!O$8,Fin.Mth!$L$7:$AI$7,"&lt;="&amp;Fin.Qtr!O$7)</f>
        <v>1394.9524278826457</v>
      </c>
      <c r="P83" s="91">
        <f ca="1">AVERAGEIFS(Fin.Mth!$L83:$AI83,Fin.Mth!$L$7:$AI$7,"&gt;="&amp;Fin.Qtr!P$8,Fin.Mth!$L$7:$AI$7,"&lt;="&amp;Fin.Qtr!P$7)</f>
        <v>1278.0146952109151</v>
      </c>
      <c r="Q83" s="91">
        <f ca="1">AVERAGEIFS(Fin.Mth!$L83:$AI83,Fin.Mth!$L$7:$AI$7,"&gt;="&amp;Fin.Qtr!Q$8,Fin.Mth!$L$7:$AI$7,"&lt;="&amp;Fin.Qtr!Q$7)</f>
        <v>1351.5302113110404</v>
      </c>
      <c r="R83" s="91">
        <f ca="1">AVERAGEIFS(Fin.Mth!$L83:$AI83,Fin.Mth!$L$7:$AI$7,"&gt;="&amp;Fin.Qtr!R$8,Fin.Mth!$L$7:$AI$7,"&lt;="&amp;Fin.Qtr!R$7)</f>
        <v>1525.4523251357753</v>
      </c>
      <c r="S83" s="91">
        <f ca="1">AVERAGEIFS(Fin.Mth!$L83:$AI83,Fin.Mth!$L$7:$AI$7,"&gt;="&amp;Fin.Qtr!S$8,Fin.Mth!$L$7:$AI$7,"&lt;="&amp;Fin.Qtr!S$7)</f>
        <v>1747.5567583633865</v>
      </c>
      <c r="T83" s="92"/>
      <c r="U83" s="95">
        <f t="shared" ca="1" si="35"/>
        <v>1399.8094609599807</v>
      </c>
      <c r="V83" s="95">
        <f t="shared" ca="1" si="36"/>
        <v>1475.6384975052792</v>
      </c>
    </row>
    <row r="85" spans="1:22" s="72" customFormat="1" x14ac:dyDescent="0.55000000000000004">
      <c r="A85" s="71"/>
      <c r="B85" s="88" t="s">
        <v>116</v>
      </c>
      <c r="C85" s="88"/>
      <c r="D85" s="88"/>
      <c r="E85" s="88"/>
      <c r="F85" s="89" t="s">
        <v>41</v>
      </c>
      <c r="G85" s="88"/>
      <c r="H85" s="90"/>
      <c r="I85" s="90"/>
      <c r="J85" s="90"/>
      <c r="K85" s="90"/>
      <c r="L85" s="91">
        <f ca="1">AVERAGEIFS(Fin.Mth!$L85:$AI85,Fin.Mth!$L$7:$AI$7,"&gt;="&amp;Fin.Qtr!L$8,Fin.Mth!$L$7:$AI$7,"&lt;="&amp;Fin.Qtr!L$7)</f>
        <v>1430.4657890624997</v>
      </c>
      <c r="M85" s="91">
        <f ca="1">AVERAGEIFS(Fin.Mth!$L85:$AI85,Fin.Mth!$L$7:$AI$7,"&gt;="&amp;Fin.Qtr!M$8,Fin.Mth!$L$7:$AI$7,"&lt;="&amp;Fin.Qtr!M$7)</f>
        <v>723.5609744877471</v>
      </c>
      <c r="N85" s="91">
        <f ca="1">AVERAGEIFS(Fin.Mth!$L85:$AI85,Fin.Mth!$L$7:$AI$7,"&gt;="&amp;Fin.Qtr!N$8,Fin.Mth!$L$7:$AI$7,"&lt;="&amp;Fin.Qtr!N$7)</f>
        <v>335.02073247388051</v>
      </c>
      <c r="O85" s="91">
        <f ca="1">AVERAGEIFS(Fin.Mth!$L85:$AI85,Fin.Mth!$L$7:$AI$7,"&gt;="&amp;Fin.Qtr!O$8,Fin.Mth!$L$7:$AI$7,"&lt;="&amp;Fin.Qtr!O$7)</f>
        <v>2074.3024859794118</v>
      </c>
      <c r="P85" s="91">
        <f ca="1">AVERAGEIFS(Fin.Mth!$L85:$AI85,Fin.Mth!$L$7:$AI$7,"&gt;="&amp;Fin.Qtr!P$8,Fin.Mth!$L$7:$AI$7,"&lt;="&amp;Fin.Qtr!P$7)</f>
        <v>2597.7806048172138</v>
      </c>
      <c r="Q85" s="91">
        <f ca="1">AVERAGEIFS(Fin.Mth!$L85:$AI85,Fin.Mth!$L$7:$AI$7,"&gt;="&amp;Fin.Qtr!Q$8,Fin.Mth!$L$7:$AI$7,"&lt;="&amp;Fin.Qtr!Q$7)</f>
        <v>1860.065850070441</v>
      </c>
      <c r="R85" s="91">
        <f ca="1">AVERAGEIFS(Fin.Mth!$L85:$AI85,Fin.Mth!$L$7:$AI$7,"&gt;="&amp;Fin.Qtr!R$8,Fin.Mth!$L$7:$AI$7,"&lt;="&amp;Fin.Qtr!R$7)</f>
        <v>1001.2915585587831</v>
      </c>
      <c r="S85" s="91">
        <f ca="1">AVERAGEIFS(Fin.Mth!$L85:$AI85,Fin.Mth!$L$7:$AI$7,"&gt;="&amp;Fin.Qtr!S$8,Fin.Mth!$L$7:$AI$7,"&lt;="&amp;Fin.Qtr!S$7)</f>
        <v>31.555439064276623</v>
      </c>
      <c r="T85" s="92"/>
      <c r="U85" s="95">
        <f t="shared" ref="U85" ca="1" si="37">AVERAGE(L85:O85)</f>
        <v>1140.8374955008849</v>
      </c>
      <c r="V85" s="95">
        <f t="shared" ref="V85" ca="1" si="38">AVERAGE(P85:S85)</f>
        <v>1372.6733631276786</v>
      </c>
    </row>
    <row r="87" spans="1:22" x14ac:dyDescent="0.55000000000000004">
      <c r="B87" s="72" t="s">
        <v>115</v>
      </c>
    </row>
    <row r="88" spans="1:22" x14ac:dyDescent="0.55000000000000004">
      <c r="B88" s="4" t="s">
        <v>111</v>
      </c>
      <c r="F88" s="86" t="s">
        <v>41</v>
      </c>
      <c r="L88" s="93">
        <f ca="1">AVERAGEIFS(Fin.Mth!$L88:$AI88,Fin.Mth!$L$7:$AI$7,"&gt;="&amp;Fin.Qtr!L$8,Fin.Mth!$L$7:$AI$7,"&lt;="&amp;Fin.Qtr!L$7)</f>
        <v>3000</v>
      </c>
      <c r="M88" s="93">
        <f ca="1">AVERAGEIFS(Fin.Mth!$L88:$AI88,Fin.Mth!$L$7:$AI$7,"&gt;="&amp;Fin.Qtr!M$8,Fin.Mth!$L$7:$AI$7,"&lt;="&amp;Fin.Qtr!M$7)</f>
        <v>3000</v>
      </c>
      <c r="N88" s="93">
        <f ca="1">AVERAGEIFS(Fin.Mth!$L88:$AI88,Fin.Mth!$L$7:$AI$7,"&gt;="&amp;Fin.Qtr!N$8,Fin.Mth!$L$7:$AI$7,"&lt;="&amp;Fin.Qtr!N$7)</f>
        <v>3000</v>
      </c>
      <c r="O88" s="93">
        <f ca="1">AVERAGEIFS(Fin.Mth!$L88:$AI88,Fin.Mth!$L$7:$AI$7,"&gt;="&amp;Fin.Qtr!O$8,Fin.Mth!$L$7:$AI$7,"&lt;="&amp;Fin.Qtr!O$7)</f>
        <v>5173.2800572326332</v>
      </c>
      <c r="P88" s="93">
        <f ca="1">AVERAGEIFS(Fin.Mth!$L88:$AI88,Fin.Mth!$L$7:$AI$7,"&gt;="&amp;Fin.Qtr!P$8,Fin.Mth!$L$7:$AI$7,"&lt;="&amp;Fin.Qtr!P$7)</f>
        <v>6259.9200858489485</v>
      </c>
      <c r="Q88" s="93">
        <f ca="1">AVERAGEIFS(Fin.Mth!$L88:$AI88,Fin.Mth!$L$7:$AI$7,"&gt;="&amp;Fin.Qtr!Q$8,Fin.Mth!$L$7:$AI$7,"&lt;="&amp;Fin.Qtr!Q$7)</f>
        <v>6259.9200858489485</v>
      </c>
      <c r="R88" s="93">
        <f ca="1">AVERAGEIFS(Fin.Mth!$L88:$AI88,Fin.Mth!$L$7:$AI$7,"&gt;="&amp;Fin.Qtr!R$8,Fin.Mth!$L$7:$AI$7,"&lt;="&amp;Fin.Qtr!R$7)</f>
        <v>6259.9200858489485</v>
      </c>
      <c r="S88" s="93">
        <f ca="1">AVERAGEIFS(Fin.Mth!$L88:$AI88,Fin.Mth!$L$7:$AI$7,"&gt;="&amp;Fin.Qtr!S$8,Fin.Mth!$L$7:$AI$7,"&lt;="&amp;Fin.Qtr!S$7)</f>
        <v>6259.9200858489485</v>
      </c>
      <c r="T88" s="93"/>
      <c r="U88" s="94">
        <f t="shared" ref="U88:U90" ca="1" si="39">AVERAGE(L88:O88)</f>
        <v>3543.3200143081585</v>
      </c>
      <c r="V88" s="94">
        <f t="shared" ref="V88:V90" ca="1" si="40">AVERAGE(P88:S88)</f>
        <v>6259.9200858489485</v>
      </c>
    </row>
    <row r="89" spans="1:22" x14ac:dyDescent="0.55000000000000004">
      <c r="B89" s="4" t="s">
        <v>112</v>
      </c>
      <c r="F89" s="86" t="s">
        <v>41</v>
      </c>
      <c r="L89" s="93">
        <f ca="1">AVERAGEIFS(Fin.Mth!$L89:$AI89,Fin.Mth!$L$7:$AI$7,"&gt;="&amp;Fin.Qtr!L$8,Fin.Mth!$L$7:$AI$7,"&lt;="&amp;Fin.Qtr!L$7)</f>
        <v>-1569.5342109374999</v>
      </c>
      <c r="M89" s="93">
        <f ca="1">AVERAGEIFS(Fin.Mth!$L89:$AI89,Fin.Mth!$L$7:$AI$7,"&gt;="&amp;Fin.Qtr!M$8,Fin.Mth!$L$7:$AI$7,"&lt;="&amp;Fin.Qtr!M$7)</f>
        <v>-2276.4390255122526</v>
      </c>
      <c r="N89" s="93">
        <f ca="1">AVERAGEIFS(Fin.Mth!$L89:$AI89,Fin.Mth!$L$7:$AI$7,"&gt;="&amp;Fin.Qtr!N$8,Fin.Mth!$L$7:$AI$7,"&lt;="&amp;Fin.Qtr!N$7)</f>
        <v>-2664.9792675261192</v>
      </c>
      <c r="O89" s="93">
        <f ca="1">AVERAGEIFS(Fin.Mth!$L89:$AI89,Fin.Mth!$L$7:$AI$7,"&gt;="&amp;Fin.Qtr!O$8,Fin.Mth!$L$7:$AI$7,"&lt;="&amp;Fin.Qtr!O$7)</f>
        <v>-3098.9775712532196</v>
      </c>
      <c r="P89" s="93">
        <f ca="1">AVERAGEIFS(Fin.Mth!$L89:$AI89,Fin.Mth!$L$7:$AI$7,"&gt;="&amp;Fin.Qtr!P$8,Fin.Mth!$L$7:$AI$7,"&lt;="&amp;Fin.Qtr!P$7)</f>
        <v>-3662.1394810317342</v>
      </c>
      <c r="Q89" s="93">
        <f ca="1">AVERAGEIFS(Fin.Mth!$L89:$AI89,Fin.Mth!$L$7:$AI$7,"&gt;="&amp;Fin.Qtr!Q$8,Fin.Mth!$L$7:$AI$7,"&lt;="&amp;Fin.Qtr!Q$7)</f>
        <v>-4399.8542357785082</v>
      </c>
      <c r="R89" s="93">
        <f ca="1">AVERAGEIFS(Fin.Mth!$L89:$AI89,Fin.Mth!$L$7:$AI$7,"&gt;="&amp;Fin.Qtr!R$8,Fin.Mth!$L$7:$AI$7,"&lt;="&amp;Fin.Qtr!R$7)</f>
        <v>-5258.628527290165</v>
      </c>
      <c r="S89" s="93">
        <f ca="1">AVERAGEIFS(Fin.Mth!$L89:$AI89,Fin.Mth!$L$7:$AI$7,"&gt;="&amp;Fin.Qtr!S$8,Fin.Mth!$L$7:$AI$7,"&lt;="&amp;Fin.Qtr!S$7)</f>
        <v>-6228.3646467846702</v>
      </c>
      <c r="T89" s="93"/>
      <c r="U89" s="94">
        <f t="shared" ca="1" si="39"/>
        <v>-2402.4825188072728</v>
      </c>
      <c r="V89" s="94">
        <f t="shared" ca="1" si="40"/>
        <v>-4887.2467227212692</v>
      </c>
    </row>
    <row r="90" spans="1:22" x14ac:dyDescent="0.55000000000000004">
      <c r="B90" s="88" t="s">
        <v>9</v>
      </c>
      <c r="C90" s="88"/>
      <c r="D90" s="88"/>
      <c r="E90" s="88"/>
      <c r="F90" s="89" t="s">
        <v>41</v>
      </c>
      <c r="G90" s="88"/>
      <c r="H90" s="90"/>
      <c r="I90" s="90"/>
      <c r="J90" s="90"/>
      <c r="K90" s="90"/>
      <c r="L90" s="91">
        <f ca="1">SUM(L88:L89)</f>
        <v>1430.4657890625001</v>
      </c>
      <c r="M90" s="91">
        <f t="shared" ref="M90:S90" ca="1" si="41">SUM(M88:M89)</f>
        <v>723.56097448774744</v>
      </c>
      <c r="N90" s="91">
        <f t="shared" ca="1" si="41"/>
        <v>335.0207324738808</v>
      </c>
      <c r="O90" s="91">
        <f t="shared" ca="1" si="41"/>
        <v>2074.3024859794136</v>
      </c>
      <c r="P90" s="91">
        <f t="shared" ca="1" si="41"/>
        <v>2597.7806048172142</v>
      </c>
      <c r="Q90" s="91">
        <f t="shared" ca="1" si="41"/>
        <v>1860.0658500704403</v>
      </c>
      <c r="R90" s="91">
        <f t="shared" ca="1" si="41"/>
        <v>1001.2915585587834</v>
      </c>
      <c r="S90" s="91">
        <f t="shared" ca="1" si="41"/>
        <v>31.555439064278289</v>
      </c>
      <c r="T90" s="92"/>
      <c r="U90" s="95">
        <f t="shared" ca="1" si="39"/>
        <v>1140.8374955008856</v>
      </c>
      <c r="V90" s="95">
        <f t="shared" ca="1" si="40"/>
        <v>1372.6733631276791</v>
      </c>
    </row>
    <row r="91" spans="1:22" s="9" customFormat="1" x14ac:dyDescent="0.55000000000000004">
      <c r="A91" s="111"/>
      <c r="B91" s="9" t="s">
        <v>113</v>
      </c>
      <c r="F91" s="86" t="s">
        <v>41</v>
      </c>
      <c r="H91" s="112"/>
      <c r="I91" s="112"/>
      <c r="J91" s="112"/>
      <c r="K91" s="113">
        <f ca="1">SUM(L91:S91)</f>
        <v>0</v>
      </c>
      <c r="L91" s="114">
        <f ca="1">ROUND(L90-L85,5)</f>
        <v>0</v>
      </c>
      <c r="M91" s="114">
        <f t="shared" ref="M91:S91" ca="1" si="42">ROUND(M90-M85,5)</f>
        <v>0</v>
      </c>
      <c r="N91" s="114">
        <f t="shared" ca="1" si="42"/>
        <v>0</v>
      </c>
      <c r="O91" s="114">
        <f t="shared" ca="1" si="42"/>
        <v>0</v>
      </c>
      <c r="P91" s="114">
        <f t="shared" ca="1" si="42"/>
        <v>0</v>
      </c>
      <c r="Q91" s="114">
        <f t="shared" ca="1" si="42"/>
        <v>0</v>
      </c>
      <c r="R91" s="114">
        <f t="shared" ca="1" si="42"/>
        <v>0</v>
      </c>
      <c r="S91" s="114">
        <f t="shared" ca="1" si="42"/>
        <v>0</v>
      </c>
      <c r="T91" s="114"/>
      <c r="U91" s="114">
        <f t="shared" ref="U91" ca="1" si="43">ROUND(U90-U85,5)</f>
        <v>0</v>
      </c>
      <c r="V91" s="114">
        <f t="shared" ref="V91" ca="1" si="44">ROUND(V90-V85,5)</f>
        <v>0</v>
      </c>
    </row>
    <row r="93" spans="1:22" x14ac:dyDescent="0.55000000000000004">
      <c r="A93" s="82" t="s">
        <v>10</v>
      </c>
      <c r="B93" s="115" t="s">
        <v>86</v>
      </c>
      <c r="C93" s="115"/>
      <c r="D93" s="115"/>
      <c r="E93" s="115"/>
      <c r="F93" s="116"/>
      <c r="G93" s="115"/>
      <c r="H93" s="117"/>
      <c r="I93" s="117"/>
      <c r="J93" s="117"/>
      <c r="K93" s="117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Ctrl</vt:lpstr>
      <vt:lpstr>Sum</vt:lpstr>
      <vt:lpstr>Calc&gt;</vt:lpstr>
      <vt:lpstr>Calc.Mth</vt:lpstr>
      <vt:lpstr>Fin&gt;</vt:lpstr>
      <vt:lpstr>Fin.Mth</vt:lpstr>
      <vt:lpstr>Fin.Qtr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Dharma</dc:creator>
  <cp:lastModifiedBy>Iraklis Jaya</cp:lastModifiedBy>
  <cp:lastPrinted>2025-08-20T05:04:13Z</cp:lastPrinted>
  <dcterms:created xsi:type="dcterms:W3CDTF">2025-08-18T22:23:05Z</dcterms:created>
  <dcterms:modified xsi:type="dcterms:W3CDTF">2025-12-14T04:04:22Z</dcterms:modified>
</cp:coreProperties>
</file>