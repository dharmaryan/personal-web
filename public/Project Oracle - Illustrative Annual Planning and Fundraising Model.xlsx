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akl\Four Clover Dropbox\Four Clover Accounting Solutions\PC (2)\Documents\Resume (July 2025)\"/>
    </mc:Choice>
  </mc:AlternateContent>
  <xr:revisionPtr revIDLastSave="0" documentId="13_ncr:1_{1B728274-E04D-4221-8BFF-263EC434C159}" xr6:coauthVersionLast="47" xr6:coauthVersionMax="47" xr10:uidLastSave="{00000000-0000-0000-0000-000000000000}"/>
  <bookViews>
    <workbookView xWindow="-96" yWindow="-96" windowWidth="23232" windowHeight="13872" xr2:uid="{DE4362F0-7CC0-4A1F-A98C-684641EDA846}"/>
  </bookViews>
  <sheets>
    <sheet name="C&gt;" sheetId="11" r:id="rId1"/>
    <sheet name="INP" sheetId="2" r:id="rId2"/>
    <sheet name="SUM" sheetId="5" r:id="rId3"/>
    <sheet name="M&gt;" sheetId="8" r:id="rId4"/>
    <sheet name="ARR_M" sheetId="1" r:id="rId5"/>
    <sheet name="FIN_M" sheetId="3" r:id="rId6"/>
    <sheet name="SAAS_M" sheetId="6" r:id="rId7"/>
    <sheet name="Q&gt;" sheetId="9" r:id="rId8"/>
    <sheet name="ROLL_Q" sheetId="4" r:id="rId9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7" i="1" l="1"/>
  <c r="B123" i="1" s="1"/>
  <c r="B129" i="1" s="1"/>
  <c r="B135" i="1" s="1"/>
  <c r="H40" i="2" l="1"/>
  <c r="H79" i="3" s="1"/>
  <c r="H73" i="3" s="1"/>
  <c r="AA34" i="5"/>
  <c r="J49" i="5"/>
  <c r="H99" i="3"/>
  <c r="G40" i="5"/>
  <c r="F40" i="5"/>
  <c r="H24" i="5"/>
  <c r="N14" i="5"/>
  <c r="G38" i="5"/>
  <c r="F38" i="5"/>
  <c r="E38" i="5"/>
  <c r="F37" i="5"/>
  <c r="E37" i="5"/>
  <c r="E36" i="5"/>
  <c r="E35" i="5"/>
  <c r="E34" i="5"/>
  <c r="J44" i="5"/>
  <c r="J45" i="5"/>
  <c r="J46" i="5"/>
  <c r="J47" i="5"/>
  <c r="J48" i="5"/>
  <c r="J34" i="5"/>
  <c r="J35" i="5"/>
  <c r="J36" i="5"/>
  <c r="J37" i="5"/>
  <c r="J38" i="5"/>
  <c r="J39" i="5"/>
  <c r="J40" i="5"/>
  <c r="J41" i="5"/>
  <c r="J42" i="5"/>
  <c r="J33" i="5"/>
  <c r="J19" i="5"/>
  <c r="J20" i="5"/>
  <c r="J21" i="5"/>
  <c r="J18" i="5"/>
  <c r="H72" i="2"/>
  <c r="J63" i="2"/>
  <c r="J64" i="2" s="1"/>
  <c r="I63" i="2"/>
  <c r="I64" i="2" s="1"/>
  <c r="I69" i="2" s="1"/>
  <c r="F36" i="5" s="1"/>
  <c r="N51" i="2"/>
  <c r="N52" i="2"/>
  <c r="N53" i="2"/>
  <c r="N50" i="2"/>
  <c r="J51" i="2"/>
  <c r="L51" i="2" s="1"/>
  <c r="J52" i="2"/>
  <c r="L52" i="2" s="1"/>
  <c r="J53" i="2"/>
  <c r="L53" i="2" s="1"/>
  <c r="J50" i="2"/>
  <c r="L50" i="2" s="1"/>
  <c r="B69" i="4"/>
  <c r="B68" i="4"/>
  <c r="B71" i="4"/>
  <c r="B70" i="4"/>
  <c r="H54" i="4"/>
  <c r="L41" i="4"/>
  <c r="H29" i="4"/>
  <c r="L98" i="3"/>
  <c r="H54" i="3"/>
  <c r="N54" i="3" s="1"/>
  <c r="H42" i="3"/>
  <c r="L41" i="3"/>
  <c r="H87" i="3"/>
  <c r="Q87" i="3" s="1"/>
  <c r="Q91" i="3" s="1"/>
  <c r="H29" i="3"/>
  <c r="L76" i="3"/>
  <c r="M71" i="3"/>
  <c r="N71" i="3"/>
  <c r="O71" i="3"/>
  <c r="P71" i="3"/>
  <c r="Q71" i="3"/>
  <c r="R71" i="3"/>
  <c r="S71" i="3"/>
  <c r="T71" i="3"/>
  <c r="U71" i="3"/>
  <c r="V71" i="3"/>
  <c r="W71" i="3"/>
  <c r="L71" i="3"/>
  <c r="F60" i="3"/>
  <c r="B60" i="3"/>
  <c r="H78" i="3"/>
  <c r="B143" i="1"/>
  <c r="B139" i="1"/>
  <c r="H77" i="3"/>
  <c r="H67" i="3"/>
  <c r="F67" i="3"/>
  <c r="B67" i="3"/>
  <c r="H66" i="3"/>
  <c r="F66" i="3"/>
  <c r="B66" i="3"/>
  <c r="H65" i="3"/>
  <c r="F65" i="3"/>
  <c r="B65" i="3"/>
  <c r="H64" i="3"/>
  <c r="F64" i="3"/>
  <c r="B64" i="3"/>
  <c r="B31" i="1"/>
  <c r="B122" i="1"/>
  <c r="B121" i="1"/>
  <c r="B120" i="1"/>
  <c r="B134" i="1"/>
  <c r="B142" i="1" s="1"/>
  <c r="B133" i="1"/>
  <c r="B141" i="1" s="1"/>
  <c r="B132" i="1"/>
  <c r="B140" i="1" s="1"/>
  <c r="B128" i="1"/>
  <c r="B127" i="1"/>
  <c r="B126" i="1"/>
  <c r="B116" i="1"/>
  <c r="B115" i="1"/>
  <c r="B114" i="1"/>
  <c r="B110" i="1"/>
  <c r="B109" i="1"/>
  <c r="B108" i="1"/>
  <c r="H99" i="1"/>
  <c r="O99" i="1" s="1"/>
  <c r="H100" i="1"/>
  <c r="S100" i="1" s="1"/>
  <c r="H98" i="1"/>
  <c r="L98" i="1" s="1"/>
  <c r="H93" i="1"/>
  <c r="M93" i="1" s="1"/>
  <c r="H94" i="1"/>
  <c r="Q94" i="1" s="1"/>
  <c r="H92" i="1"/>
  <c r="V92" i="1" s="1"/>
  <c r="H85" i="1"/>
  <c r="H86" i="1"/>
  <c r="H84" i="1"/>
  <c r="F87" i="1"/>
  <c r="F86" i="1"/>
  <c r="B86" i="1"/>
  <c r="B24" i="1" s="1"/>
  <c r="B36" i="1" s="1"/>
  <c r="F85" i="1"/>
  <c r="B85" i="1"/>
  <c r="B23" i="1" s="1"/>
  <c r="B35" i="1" s="1"/>
  <c r="F84" i="1"/>
  <c r="B84" i="1"/>
  <c r="B22" i="1" s="1"/>
  <c r="H79" i="1"/>
  <c r="N79" i="1" s="1"/>
  <c r="H80" i="1"/>
  <c r="R80" i="1" s="1"/>
  <c r="H78" i="1"/>
  <c r="W78" i="1" s="1"/>
  <c r="F101" i="1"/>
  <c r="F100" i="1"/>
  <c r="B100" i="1"/>
  <c r="F99" i="1"/>
  <c r="B99" i="1"/>
  <c r="F98" i="1"/>
  <c r="B98" i="1"/>
  <c r="F95" i="1"/>
  <c r="F94" i="1"/>
  <c r="B94" i="1"/>
  <c r="F93" i="1"/>
  <c r="B93" i="1"/>
  <c r="F92" i="1"/>
  <c r="B92" i="1"/>
  <c r="H65" i="1"/>
  <c r="H66" i="1"/>
  <c r="H64" i="1"/>
  <c r="H59" i="1"/>
  <c r="L59" i="1" s="1"/>
  <c r="H60" i="1"/>
  <c r="H58" i="1"/>
  <c r="U58" i="1" s="1"/>
  <c r="H53" i="1"/>
  <c r="H54" i="1"/>
  <c r="H52" i="1"/>
  <c r="F73" i="1"/>
  <c r="F72" i="1"/>
  <c r="F71" i="1"/>
  <c r="F70" i="1"/>
  <c r="F67" i="1"/>
  <c r="F66" i="1"/>
  <c r="F65" i="1"/>
  <c r="F64" i="1"/>
  <c r="F81" i="1"/>
  <c r="F80" i="1"/>
  <c r="F79" i="1"/>
  <c r="F78" i="1"/>
  <c r="F61" i="1"/>
  <c r="F60" i="1"/>
  <c r="F59" i="1"/>
  <c r="F58" i="1"/>
  <c r="B72" i="1"/>
  <c r="B71" i="1"/>
  <c r="B70" i="1"/>
  <c r="B66" i="1"/>
  <c r="B65" i="1"/>
  <c r="B64" i="1"/>
  <c r="B80" i="1"/>
  <c r="B79" i="1"/>
  <c r="B78" i="1"/>
  <c r="B60" i="1"/>
  <c r="B59" i="1"/>
  <c r="B58" i="1"/>
  <c r="B54" i="1"/>
  <c r="B18" i="1" s="1"/>
  <c r="B53" i="1"/>
  <c r="B17" i="1" s="1"/>
  <c r="B52" i="1"/>
  <c r="B16" i="1" s="1"/>
  <c r="L84" i="2"/>
  <c r="L83" i="2" s="1"/>
  <c r="L6" i="4" s="1"/>
  <c r="L78" i="2"/>
  <c r="L77" i="2" s="1"/>
  <c r="M78" i="2" s="1"/>
  <c r="M77" i="2" s="1"/>
  <c r="N78" i="2" s="1"/>
  <c r="N7" i="3" s="1"/>
  <c r="O14" i="5" l="1"/>
  <c r="J70" i="2"/>
  <c r="G37" i="5" s="1"/>
  <c r="G46" i="5" s="1"/>
  <c r="J69" i="2"/>
  <c r="G36" i="5" s="1"/>
  <c r="P14" i="5"/>
  <c r="N13" i="5"/>
  <c r="O13" i="5"/>
  <c r="AA13" i="5"/>
  <c r="AA14" i="5"/>
  <c r="AF14" i="5" s="1"/>
  <c r="J24" i="5"/>
  <c r="J27" i="5"/>
  <c r="J28" i="5"/>
  <c r="J26" i="5"/>
  <c r="J25" i="5"/>
  <c r="G45" i="5"/>
  <c r="F46" i="5"/>
  <c r="F45" i="5"/>
  <c r="F47" i="5"/>
  <c r="G47" i="5"/>
  <c r="H38" i="5"/>
  <c r="E39" i="5"/>
  <c r="N54" i="2"/>
  <c r="H56" i="2" s="1"/>
  <c r="H19" i="5" s="1"/>
  <c r="H30" i="5" s="1"/>
  <c r="I68" i="2"/>
  <c r="F35" i="5" s="1"/>
  <c r="F44" i="5" s="1"/>
  <c r="I67" i="2"/>
  <c r="J67" i="2" s="1"/>
  <c r="G34" i="5" s="1"/>
  <c r="G43" i="5" s="1"/>
  <c r="L54" i="2"/>
  <c r="H57" i="2" s="1"/>
  <c r="H21" i="5" s="1"/>
  <c r="M7" i="6"/>
  <c r="L7" i="6"/>
  <c r="N7" i="6"/>
  <c r="L6" i="6"/>
  <c r="M6" i="6"/>
  <c r="L7" i="4"/>
  <c r="L54" i="3"/>
  <c r="U54" i="3"/>
  <c r="S54" i="3"/>
  <c r="R54" i="3"/>
  <c r="Q54" i="3"/>
  <c r="P54" i="3"/>
  <c r="O54" i="3"/>
  <c r="M54" i="3"/>
  <c r="W54" i="3"/>
  <c r="V54" i="3"/>
  <c r="T54" i="3"/>
  <c r="P87" i="3"/>
  <c r="P91" i="3" s="1"/>
  <c r="O87" i="3"/>
  <c r="O91" i="3" s="1"/>
  <c r="N87" i="3"/>
  <c r="N91" i="3" s="1"/>
  <c r="M87" i="3"/>
  <c r="M91" i="3" s="1"/>
  <c r="T87" i="3"/>
  <c r="T91" i="3" s="1"/>
  <c r="R87" i="3"/>
  <c r="R91" i="3" s="1"/>
  <c r="L87" i="3"/>
  <c r="W87" i="3"/>
  <c r="W91" i="3" s="1"/>
  <c r="V87" i="3"/>
  <c r="V91" i="3" s="1"/>
  <c r="U87" i="3"/>
  <c r="U91" i="3" s="1"/>
  <c r="S87" i="3"/>
  <c r="S91" i="3" s="1"/>
  <c r="M12" i="2"/>
  <c r="M49" i="1" s="1"/>
  <c r="M60" i="3" s="1"/>
  <c r="M99" i="3" s="1"/>
  <c r="L6" i="1"/>
  <c r="M6" i="3"/>
  <c r="L7" i="1"/>
  <c r="L7" i="3"/>
  <c r="N7" i="1"/>
  <c r="L12" i="2"/>
  <c r="L49" i="1" s="1"/>
  <c r="L6" i="3"/>
  <c r="M7" i="1"/>
  <c r="M7" i="3"/>
  <c r="N12" i="2"/>
  <c r="N49" i="1" s="1"/>
  <c r="N60" i="3" s="1"/>
  <c r="N78" i="3" s="1"/>
  <c r="B30" i="1"/>
  <c r="B29" i="1"/>
  <c r="B34" i="1"/>
  <c r="B28" i="1"/>
  <c r="H108" i="1"/>
  <c r="H109" i="1"/>
  <c r="H110" i="1"/>
  <c r="L85" i="2"/>
  <c r="M84" i="2"/>
  <c r="AB14" i="5" s="1"/>
  <c r="L86" i="2"/>
  <c r="L9" i="4" s="1"/>
  <c r="M6" i="1"/>
  <c r="Q99" i="1"/>
  <c r="P80" i="1"/>
  <c r="N99" i="1"/>
  <c r="R99" i="1"/>
  <c r="M98" i="1"/>
  <c r="S99" i="1"/>
  <c r="N98" i="1"/>
  <c r="T99" i="1"/>
  <c r="O98" i="1"/>
  <c r="U99" i="1"/>
  <c r="P98" i="1"/>
  <c r="V99" i="1"/>
  <c r="Q98" i="1"/>
  <c r="W99" i="1"/>
  <c r="R98" i="1"/>
  <c r="L100" i="1"/>
  <c r="P78" i="1"/>
  <c r="S98" i="1"/>
  <c r="M100" i="1"/>
  <c r="O78" i="1"/>
  <c r="T98" i="1"/>
  <c r="N100" i="1"/>
  <c r="N78" i="1"/>
  <c r="U98" i="1"/>
  <c r="O100" i="1"/>
  <c r="V98" i="1"/>
  <c r="W80" i="1"/>
  <c r="W98" i="1"/>
  <c r="Q100" i="1"/>
  <c r="V80" i="1"/>
  <c r="O94" i="1"/>
  <c r="L99" i="1"/>
  <c r="T100" i="1"/>
  <c r="M78" i="1"/>
  <c r="P100" i="1"/>
  <c r="Q80" i="1"/>
  <c r="N94" i="1"/>
  <c r="M99" i="1"/>
  <c r="W100" i="1"/>
  <c r="L94" i="1"/>
  <c r="W93" i="1"/>
  <c r="T92" i="1"/>
  <c r="S92" i="1"/>
  <c r="U93" i="1"/>
  <c r="Q92" i="1"/>
  <c r="S93" i="1"/>
  <c r="P92" i="1"/>
  <c r="R93" i="1"/>
  <c r="O92" i="1"/>
  <c r="Q93" i="1"/>
  <c r="N92" i="1"/>
  <c r="L93" i="1"/>
  <c r="M92" i="1"/>
  <c r="W94" i="1"/>
  <c r="U100" i="1"/>
  <c r="V94" i="1"/>
  <c r="P99" i="1"/>
  <c r="V100" i="1"/>
  <c r="M94" i="1"/>
  <c r="U92" i="1"/>
  <c r="V93" i="1"/>
  <c r="R92" i="1"/>
  <c r="T93" i="1"/>
  <c r="P94" i="1"/>
  <c r="W79" i="1"/>
  <c r="V79" i="1"/>
  <c r="T79" i="1"/>
  <c r="T94" i="1"/>
  <c r="S79" i="1"/>
  <c r="S94" i="1"/>
  <c r="O93" i="1"/>
  <c r="Q79" i="1"/>
  <c r="W92" i="1"/>
  <c r="R94" i="1"/>
  <c r="N93" i="1"/>
  <c r="R100" i="1"/>
  <c r="U79" i="1"/>
  <c r="U94" i="1"/>
  <c r="P93" i="1"/>
  <c r="L92" i="1"/>
  <c r="L79" i="1"/>
  <c r="R79" i="1"/>
  <c r="R78" i="1"/>
  <c r="Q78" i="1"/>
  <c r="M79" i="1"/>
  <c r="O80" i="1"/>
  <c r="N80" i="1"/>
  <c r="V78" i="1"/>
  <c r="M80" i="1"/>
  <c r="U78" i="1"/>
  <c r="L80" i="1"/>
  <c r="T78" i="1"/>
  <c r="S78" i="1"/>
  <c r="T80" i="1"/>
  <c r="P79" i="1"/>
  <c r="U80" i="1"/>
  <c r="L78" i="1"/>
  <c r="S80" i="1"/>
  <c r="O79" i="1"/>
  <c r="P60" i="1"/>
  <c r="O60" i="1"/>
  <c r="T58" i="1"/>
  <c r="N60" i="1"/>
  <c r="R58" i="1"/>
  <c r="M60" i="1"/>
  <c r="W59" i="1"/>
  <c r="M58" i="1"/>
  <c r="S59" i="1"/>
  <c r="R59" i="1"/>
  <c r="Q59" i="1"/>
  <c r="T60" i="1"/>
  <c r="L58" i="1"/>
  <c r="S60" i="1"/>
  <c r="O59" i="1"/>
  <c r="W58" i="1"/>
  <c r="R60" i="1"/>
  <c r="N59" i="1"/>
  <c r="S58" i="1"/>
  <c r="Q58" i="1"/>
  <c r="L60" i="1"/>
  <c r="P58" i="1"/>
  <c r="O58" i="1"/>
  <c r="V59" i="1"/>
  <c r="N58" i="1"/>
  <c r="U59" i="1"/>
  <c r="T59" i="1"/>
  <c r="W60" i="1"/>
  <c r="V60" i="1"/>
  <c r="U60" i="1"/>
  <c r="P59" i="1"/>
  <c r="V58" i="1"/>
  <c r="Q60" i="1"/>
  <c r="M59" i="1"/>
  <c r="M79" i="2"/>
  <c r="L80" i="2"/>
  <c r="L9" i="6" s="1"/>
  <c r="L79" i="2"/>
  <c r="M80" i="2"/>
  <c r="M9" i="6" s="1"/>
  <c r="N77" i="2"/>
  <c r="N6" i="6" l="1"/>
  <c r="P13" i="5"/>
  <c r="L8" i="6"/>
  <c r="N15" i="5"/>
  <c r="M8" i="6"/>
  <c r="O15" i="5"/>
  <c r="J68" i="2"/>
  <c r="G35" i="5" s="1"/>
  <c r="L8" i="4"/>
  <c r="AA15" i="5"/>
  <c r="I72" i="2"/>
  <c r="F34" i="5"/>
  <c r="B42" i="1"/>
  <c r="L91" i="3"/>
  <c r="B40" i="1"/>
  <c r="B41" i="1"/>
  <c r="N99" i="3"/>
  <c r="M83" i="2"/>
  <c r="M7" i="4"/>
  <c r="M78" i="3"/>
  <c r="M42" i="3"/>
  <c r="N42" i="3"/>
  <c r="L108" i="1"/>
  <c r="L52" i="1"/>
  <c r="L60" i="3"/>
  <c r="L84" i="1"/>
  <c r="L85" i="1"/>
  <c r="L86" i="1"/>
  <c r="L109" i="1"/>
  <c r="L53" i="1"/>
  <c r="L54" i="1"/>
  <c r="L110" i="1"/>
  <c r="N6" i="1"/>
  <c r="N6" i="3"/>
  <c r="L9" i="1"/>
  <c r="L9" i="3"/>
  <c r="M8" i="1"/>
  <c r="M8" i="3"/>
  <c r="M9" i="1"/>
  <c r="M9" i="3"/>
  <c r="L8" i="1"/>
  <c r="L8" i="3"/>
  <c r="T61" i="1"/>
  <c r="Q61" i="1"/>
  <c r="U61" i="1"/>
  <c r="N61" i="1"/>
  <c r="O61" i="1"/>
  <c r="M61" i="1"/>
  <c r="P61" i="1"/>
  <c r="R61" i="1"/>
  <c r="W61" i="1"/>
  <c r="S61" i="1"/>
  <c r="V61" i="1"/>
  <c r="L61" i="1"/>
  <c r="O78" i="2"/>
  <c r="Q14" i="5" s="1"/>
  <c r="N80" i="2"/>
  <c r="N9" i="6" s="1"/>
  <c r="N79" i="2"/>
  <c r="N8" i="6" l="1"/>
  <c r="P15" i="5"/>
  <c r="F43" i="5"/>
  <c r="F48" i="5" s="1"/>
  <c r="F39" i="5"/>
  <c r="M6" i="4"/>
  <c r="AB13" i="5"/>
  <c r="G44" i="5"/>
  <c r="G48" i="5" s="1"/>
  <c r="G39" i="5"/>
  <c r="L64" i="1"/>
  <c r="L126" i="1" s="1"/>
  <c r="L116" i="1"/>
  <c r="L114" i="1"/>
  <c r="L99" i="3"/>
  <c r="M85" i="2"/>
  <c r="M86" i="2"/>
  <c r="M9" i="4" s="1"/>
  <c r="N84" i="2"/>
  <c r="O7" i="3"/>
  <c r="O7" i="6"/>
  <c r="M84" i="1"/>
  <c r="N84" i="1" s="1"/>
  <c r="L22" i="1"/>
  <c r="L120" i="1"/>
  <c r="L78" i="3"/>
  <c r="L42" i="3"/>
  <c r="L23" i="1"/>
  <c r="M85" i="1"/>
  <c r="N85" i="1" s="1"/>
  <c r="L24" i="1"/>
  <c r="M86" i="1"/>
  <c r="M24" i="1" s="1"/>
  <c r="L122" i="1"/>
  <c r="L115" i="1"/>
  <c r="L121" i="1"/>
  <c r="L55" i="1"/>
  <c r="L65" i="1"/>
  <c r="L66" i="1"/>
  <c r="N8" i="1"/>
  <c r="N8" i="3"/>
  <c r="N9" i="1"/>
  <c r="N9" i="3"/>
  <c r="L111" i="1"/>
  <c r="O77" i="2"/>
  <c r="O12" i="2"/>
  <c r="O49" i="1" s="1"/>
  <c r="O60" i="3" s="1"/>
  <c r="O99" i="3" s="1"/>
  <c r="O7" i="1"/>
  <c r="N7" i="4" l="1"/>
  <c r="AC14" i="5"/>
  <c r="M8" i="4"/>
  <c r="AB15" i="5"/>
  <c r="O6" i="6"/>
  <c r="Q13" i="5"/>
  <c r="H36" i="5"/>
  <c r="H37" i="5"/>
  <c r="H35" i="5"/>
  <c r="H34" i="5"/>
  <c r="L70" i="1"/>
  <c r="L16" i="1" s="1"/>
  <c r="L127" i="1"/>
  <c r="L117" i="1"/>
  <c r="L17" i="6" s="1"/>
  <c r="L128" i="1"/>
  <c r="L129" i="1" s="1"/>
  <c r="L35" i="6" s="1"/>
  <c r="J72" i="2"/>
  <c r="N83" i="2"/>
  <c r="M114" i="1"/>
  <c r="M22" i="1"/>
  <c r="L123" i="1"/>
  <c r="L18" i="6" s="1"/>
  <c r="L84" i="3"/>
  <c r="L34" i="6"/>
  <c r="O78" i="3"/>
  <c r="O42" i="3"/>
  <c r="M23" i="1"/>
  <c r="N86" i="1"/>
  <c r="N116" i="1" s="1"/>
  <c r="M116" i="1"/>
  <c r="M115" i="1"/>
  <c r="L71" i="1"/>
  <c r="L67" i="1"/>
  <c r="L26" i="6" s="1"/>
  <c r="L72" i="1"/>
  <c r="N115" i="1"/>
  <c r="N23" i="1"/>
  <c r="O6" i="1"/>
  <c r="O6" i="3"/>
  <c r="P78" i="2"/>
  <c r="R14" i="5" s="1"/>
  <c r="N114" i="1"/>
  <c r="N22" i="1"/>
  <c r="O85" i="1"/>
  <c r="L132" i="1"/>
  <c r="O79" i="2"/>
  <c r="O80" i="2"/>
  <c r="O9" i="6" s="1"/>
  <c r="O84" i="1"/>
  <c r="H39" i="5" l="1"/>
  <c r="N6" i="4"/>
  <c r="AC13" i="5"/>
  <c r="O8" i="6"/>
  <c r="Q15" i="5"/>
  <c r="N85" i="2"/>
  <c r="O84" i="2"/>
  <c r="N86" i="2"/>
  <c r="N9" i="4" s="1"/>
  <c r="M52" i="1"/>
  <c r="M120" i="1" s="1"/>
  <c r="L133" i="1"/>
  <c r="M109" i="1" s="1"/>
  <c r="L134" i="1"/>
  <c r="M110" i="1" s="1"/>
  <c r="L27" i="6"/>
  <c r="L17" i="1"/>
  <c r="L41" i="6"/>
  <c r="O7" i="4"/>
  <c r="P7" i="3"/>
  <c r="P7" i="6"/>
  <c r="L42" i="6"/>
  <c r="M117" i="1"/>
  <c r="M17" i="6" s="1"/>
  <c r="O86" i="1"/>
  <c r="O116" i="1" s="1"/>
  <c r="N24" i="1"/>
  <c r="L43" i="6"/>
  <c r="L36" i="6"/>
  <c r="M108" i="1"/>
  <c r="L34" i="1"/>
  <c r="N117" i="1"/>
  <c r="N17" i="6" s="1"/>
  <c r="M53" i="1"/>
  <c r="M121" i="1" s="1"/>
  <c r="L73" i="1"/>
  <c r="P7" i="1"/>
  <c r="L18" i="1"/>
  <c r="M54" i="1"/>
  <c r="O22" i="1"/>
  <c r="P12" i="2"/>
  <c r="P49" i="1" s="1"/>
  <c r="P77" i="2"/>
  <c r="R13" i="5" s="1"/>
  <c r="O9" i="1"/>
  <c r="O9" i="3"/>
  <c r="O115" i="1"/>
  <c r="O23" i="1"/>
  <c r="O8" i="1"/>
  <c r="O8" i="3"/>
  <c r="L140" i="1"/>
  <c r="O114" i="1"/>
  <c r="L35" i="1" l="1"/>
  <c r="L141" i="1"/>
  <c r="M64" i="1"/>
  <c r="M126" i="1" s="1"/>
  <c r="M132" i="1" s="1"/>
  <c r="M34" i="1" s="1"/>
  <c r="O83" i="2"/>
  <c r="AD14" i="5"/>
  <c r="N8" i="4"/>
  <c r="AC15" i="5"/>
  <c r="O24" i="1"/>
  <c r="L135" i="1"/>
  <c r="L77" i="3" s="1"/>
  <c r="M111" i="1"/>
  <c r="M84" i="3" s="1"/>
  <c r="L41" i="1"/>
  <c r="L38" i="6"/>
  <c r="L19" i="1"/>
  <c r="N18" i="5" s="1"/>
  <c r="L36" i="1"/>
  <c r="L142" i="1"/>
  <c r="L44" i="6"/>
  <c r="P80" i="2"/>
  <c r="P9" i="6" s="1"/>
  <c r="P6" i="6"/>
  <c r="L95" i="1"/>
  <c r="L25" i="1"/>
  <c r="N19" i="5" s="1"/>
  <c r="M65" i="1"/>
  <c r="M127" i="1" s="1"/>
  <c r="M133" i="1" s="1"/>
  <c r="M35" i="1" s="1"/>
  <c r="L81" i="1"/>
  <c r="L87" i="1"/>
  <c r="P85" i="1"/>
  <c r="P115" i="1" s="1"/>
  <c r="P60" i="3"/>
  <c r="P99" i="3" s="1"/>
  <c r="L101" i="1"/>
  <c r="M55" i="1"/>
  <c r="O117" i="1"/>
  <c r="O17" i="6" s="1"/>
  <c r="P84" i="1"/>
  <c r="P114" i="1" s="1"/>
  <c r="M122" i="1"/>
  <c r="M123" i="1" s="1"/>
  <c r="M18" i="6" s="1"/>
  <c r="M66" i="1"/>
  <c r="Q78" i="2"/>
  <c r="S14" i="5" s="1"/>
  <c r="P79" i="2"/>
  <c r="L40" i="1"/>
  <c r="P6" i="1"/>
  <c r="P6" i="3"/>
  <c r="P86" i="1"/>
  <c r="M70" i="1" l="1"/>
  <c r="M16" i="1" s="1"/>
  <c r="P8" i="6"/>
  <c r="R15" i="5"/>
  <c r="O6" i="4"/>
  <c r="AD13" i="5"/>
  <c r="AF13" i="5" s="1"/>
  <c r="O86" i="2"/>
  <c r="O9" i="4" s="1"/>
  <c r="O85" i="2"/>
  <c r="M34" i="6"/>
  <c r="M41" i="6" s="1"/>
  <c r="L46" i="6"/>
  <c r="L42" i="1"/>
  <c r="L43" i="1" s="1"/>
  <c r="L143" i="1"/>
  <c r="N27" i="5"/>
  <c r="L29" i="1"/>
  <c r="P9" i="3"/>
  <c r="P9" i="1"/>
  <c r="L28" i="1"/>
  <c r="Q7" i="3"/>
  <c r="Q7" i="6"/>
  <c r="N109" i="1"/>
  <c r="M71" i="1"/>
  <c r="M17" i="1" s="1"/>
  <c r="M141" i="1"/>
  <c r="M41" i="1" s="1"/>
  <c r="P23" i="1"/>
  <c r="M42" i="6"/>
  <c r="N108" i="1"/>
  <c r="M140" i="1"/>
  <c r="M40" i="1" s="1"/>
  <c r="P78" i="3"/>
  <c r="P42" i="3"/>
  <c r="L72" i="3"/>
  <c r="L35" i="3"/>
  <c r="P22" i="1"/>
  <c r="Q7" i="1"/>
  <c r="Q12" i="2"/>
  <c r="Q49" i="1" s="1"/>
  <c r="Q77" i="2"/>
  <c r="S13" i="5" s="1"/>
  <c r="M72" i="1"/>
  <c r="M128" i="1"/>
  <c r="M67" i="1"/>
  <c r="M26" i="6" s="1"/>
  <c r="M27" i="6" s="1"/>
  <c r="P116" i="1"/>
  <c r="P117" i="1" s="1"/>
  <c r="P17" i="6" s="1"/>
  <c r="P24" i="1"/>
  <c r="P8" i="1"/>
  <c r="P8" i="3"/>
  <c r="L37" i="1"/>
  <c r="L15" i="3" s="1"/>
  <c r="N52" i="1" l="1"/>
  <c r="N120" i="1" s="1"/>
  <c r="O8" i="4"/>
  <c r="AD15" i="5"/>
  <c r="AF15" i="5" s="1"/>
  <c r="L73" i="3"/>
  <c r="M29" i="1"/>
  <c r="N46" i="5"/>
  <c r="L31" i="1"/>
  <c r="N20" i="5" s="1"/>
  <c r="N21" i="5"/>
  <c r="L30" i="1"/>
  <c r="L64" i="3"/>
  <c r="N33" i="5"/>
  <c r="L67" i="3"/>
  <c r="L66" i="3"/>
  <c r="L65" i="3"/>
  <c r="N28" i="5"/>
  <c r="Q6" i="3"/>
  <c r="Q6" i="6"/>
  <c r="N53" i="1"/>
  <c r="N121" i="1" s="1"/>
  <c r="M28" i="1"/>
  <c r="L85" i="3"/>
  <c r="L90" i="3"/>
  <c r="Q84" i="1"/>
  <c r="Q114" i="1" s="1"/>
  <c r="Q60" i="3"/>
  <c r="Q99" i="3" s="1"/>
  <c r="Q79" i="2"/>
  <c r="S15" i="5" s="1"/>
  <c r="R78" i="2"/>
  <c r="T14" i="5" s="1"/>
  <c r="Q80" i="2"/>
  <c r="Q6" i="1"/>
  <c r="Q86" i="1"/>
  <c r="Q116" i="1" s="1"/>
  <c r="Q85" i="1"/>
  <c r="Q23" i="1" s="1"/>
  <c r="M18" i="1"/>
  <c r="M19" i="1" s="1"/>
  <c r="O18" i="5" s="1"/>
  <c r="N54" i="1"/>
  <c r="M73" i="1"/>
  <c r="M25" i="1" s="1"/>
  <c r="O19" i="5" s="1"/>
  <c r="M134" i="1"/>
  <c r="M36" i="1" s="1"/>
  <c r="M129" i="1"/>
  <c r="M35" i="6" s="1"/>
  <c r="N64" i="1" l="1"/>
  <c r="N126" i="1" s="1"/>
  <c r="N132" i="1" s="1"/>
  <c r="L20" i="3"/>
  <c r="L21" i="3"/>
  <c r="L22" i="3"/>
  <c r="L17" i="3"/>
  <c r="L79" i="3"/>
  <c r="L86" i="3"/>
  <c r="N65" i="1"/>
  <c r="N127" i="1" s="1"/>
  <c r="N133" i="1" s="1"/>
  <c r="N35" i="1" s="1"/>
  <c r="R7" i="3"/>
  <c r="R7" i="6"/>
  <c r="Q8" i="1"/>
  <c r="Q8" i="6"/>
  <c r="Q9" i="1"/>
  <c r="Q9" i="6"/>
  <c r="M43" i="6"/>
  <c r="M44" i="6" s="1"/>
  <c r="M46" i="6" s="1"/>
  <c r="O28" i="5" s="1"/>
  <c r="M36" i="6"/>
  <c r="M38" i="6" s="1"/>
  <c r="O27" i="5" s="1"/>
  <c r="Q78" i="3"/>
  <c r="Q42" i="3"/>
  <c r="Q115" i="1"/>
  <c r="Q117" i="1" s="1"/>
  <c r="Q17" i="6" s="1"/>
  <c r="Q22" i="1"/>
  <c r="Q24" i="1"/>
  <c r="Q8" i="3"/>
  <c r="R77" i="2"/>
  <c r="T13" i="5" s="1"/>
  <c r="R7" i="1"/>
  <c r="R12" i="2"/>
  <c r="R49" i="1" s="1"/>
  <c r="R60" i="3" s="1"/>
  <c r="R99" i="3" s="1"/>
  <c r="Q9" i="3"/>
  <c r="N122" i="1"/>
  <c r="N123" i="1" s="1"/>
  <c r="N18" i="6" s="1"/>
  <c r="N66" i="1"/>
  <c r="N72" i="1" s="1"/>
  <c r="N55" i="1"/>
  <c r="M142" i="1"/>
  <c r="N110" i="1"/>
  <c r="M135" i="1"/>
  <c r="M87" i="1"/>
  <c r="M95" i="1"/>
  <c r="M81" i="1"/>
  <c r="M101" i="1"/>
  <c r="N70" i="1" l="1"/>
  <c r="N16" i="1" s="1"/>
  <c r="N40" i="5"/>
  <c r="L80" i="3"/>
  <c r="L25" i="3"/>
  <c r="N39" i="5"/>
  <c r="L15" i="6"/>
  <c r="N38" i="5"/>
  <c r="N35" i="5"/>
  <c r="L18" i="3"/>
  <c r="N71" i="1"/>
  <c r="O53" i="1" s="1"/>
  <c r="R86" i="1"/>
  <c r="R116" i="1" s="1"/>
  <c r="R85" i="1"/>
  <c r="R23" i="1" s="1"/>
  <c r="R84" i="1"/>
  <c r="R114" i="1" s="1"/>
  <c r="R6" i="3"/>
  <c r="R6" i="6"/>
  <c r="N42" i="6"/>
  <c r="R78" i="3"/>
  <c r="R42" i="3"/>
  <c r="O108" i="1"/>
  <c r="N34" i="1"/>
  <c r="R80" i="2"/>
  <c r="R79" i="2"/>
  <c r="T15" i="5" s="1"/>
  <c r="S78" i="2"/>
  <c r="R6" i="1"/>
  <c r="M77" i="3"/>
  <c r="M35" i="3" s="1"/>
  <c r="O46" i="5" s="1"/>
  <c r="N111" i="1"/>
  <c r="M42" i="1"/>
  <c r="M143" i="1"/>
  <c r="N18" i="1"/>
  <c r="O54" i="1"/>
  <c r="N128" i="1"/>
  <c r="N129" i="1" s="1"/>
  <c r="N35" i="6" s="1"/>
  <c r="N43" i="6" s="1"/>
  <c r="N67" i="1"/>
  <c r="N26" i="6" s="1"/>
  <c r="N27" i="6" s="1"/>
  <c r="O109" i="1"/>
  <c r="N141" i="1"/>
  <c r="N140" i="1"/>
  <c r="O52" i="1" l="1"/>
  <c r="O120" i="1" s="1"/>
  <c r="S12" i="2"/>
  <c r="S49" i="1" s="1"/>
  <c r="S60" i="3" s="1"/>
  <c r="S99" i="3" s="1"/>
  <c r="U14" i="5"/>
  <c r="N17" i="1"/>
  <c r="N19" i="1" s="1"/>
  <c r="P18" i="5" s="1"/>
  <c r="L23" i="3"/>
  <c r="N36" i="5"/>
  <c r="L19" i="3"/>
  <c r="N73" i="1"/>
  <c r="N87" i="1" s="1"/>
  <c r="L22" i="6"/>
  <c r="L49" i="3"/>
  <c r="M76" i="3"/>
  <c r="R115" i="1"/>
  <c r="R117" i="1" s="1"/>
  <c r="R17" i="6" s="1"/>
  <c r="R22" i="1"/>
  <c r="R24" i="1"/>
  <c r="R9" i="1"/>
  <c r="R9" i="6"/>
  <c r="R8" i="1"/>
  <c r="R8" i="6"/>
  <c r="S7" i="3"/>
  <c r="S7" i="6"/>
  <c r="M43" i="1"/>
  <c r="M30" i="1"/>
  <c r="O64" i="1"/>
  <c r="O126" i="1" s="1"/>
  <c r="N84" i="3"/>
  <c r="N34" i="6"/>
  <c r="S77" i="2"/>
  <c r="S7" i="1"/>
  <c r="R8" i="3"/>
  <c r="M72" i="3"/>
  <c r="R9" i="3"/>
  <c r="N134" i="1"/>
  <c r="O110" i="1" s="1"/>
  <c r="O111" i="1" s="1"/>
  <c r="M37" i="1"/>
  <c r="M15" i="3" s="1"/>
  <c r="O122" i="1"/>
  <c r="O66" i="1"/>
  <c r="O128" i="1" s="1"/>
  <c r="O121" i="1"/>
  <c r="O65" i="1"/>
  <c r="O127" i="1" s="1"/>
  <c r="N40" i="1"/>
  <c r="N28" i="1" s="1"/>
  <c r="N41" i="1"/>
  <c r="O55" i="1" l="1"/>
  <c r="S86" i="1"/>
  <c r="S85" i="1"/>
  <c r="S42" i="3"/>
  <c r="S84" i="1"/>
  <c r="S114" i="1" s="1"/>
  <c r="S78" i="3"/>
  <c r="N29" i="1"/>
  <c r="S79" i="2"/>
  <c r="S8" i="1" s="1"/>
  <c r="U13" i="5"/>
  <c r="N81" i="1"/>
  <c r="N101" i="1"/>
  <c r="M73" i="3"/>
  <c r="M79" i="3" s="1"/>
  <c r="O33" i="5"/>
  <c r="M67" i="3"/>
  <c r="M22" i="3" s="1"/>
  <c r="O40" i="5" s="1"/>
  <c r="M64" i="3"/>
  <c r="M17" i="3" s="1"/>
  <c r="O35" i="5" s="1"/>
  <c r="M66" i="3"/>
  <c r="M21" i="3" s="1"/>
  <c r="O39" i="5" s="1"/>
  <c r="M65" i="3"/>
  <c r="M20" i="3" s="1"/>
  <c r="N37" i="5"/>
  <c r="L19" i="6"/>
  <c r="M31" i="1"/>
  <c r="O20" i="5" s="1"/>
  <c r="O21" i="5"/>
  <c r="N25" i="1"/>
  <c r="P19" i="5" s="1"/>
  <c r="N95" i="1"/>
  <c r="L34" i="3"/>
  <c r="N41" i="5"/>
  <c r="L26" i="3"/>
  <c r="L24" i="3"/>
  <c r="T78" i="2"/>
  <c r="T7" i="1" s="1"/>
  <c r="S80" i="2"/>
  <c r="S9" i="6" s="1"/>
  <c r="O70" i="1"/>
  <c r="P52" i="1" s="1"/>
  <c r="P120" i="1" s="1"/>
  <c r="S6" i="3"/>
  <c r="S6" i="6"/>
  <c r="O123" i="1"/>
  <c r="O72" i="1"/>
  <c r="P54" i="1" s="1"/>
  <c r="O34" i="6"/>
  <c r="O84" i="3"/>
  <c r="N41" i="6"/>
  <c r="N44" i="6" s="1"/>
  <c r="N46" i="6" s="1"/>
  <c r="P28" i="5" s="1"/>
  <c r="N36" i="6"/>
  <c r="N38" i="6" s="1"/>
  <c r="P27" i="5" s="1"/>
  <c r="M85" i="3"/>
  <c r="M86" i="3" s="1"/>
  <c r="M90" i="3"/>
  <c r="N142" i="1"/>
  <c r="N143" i="1" s="1"/>
  <c r="S6" i="1"/>
  <c r="O71" i="1"/>
  <c r="O129" i="1"/>
  <c r="O35" i="6" s="1"/>
  <c r="O43" i="6" s="1"/>
  <c r="N135" i="1"/>
  <c r="N36" i="1"/>
  <c r="M16" i="3"/>
  <c r="O34" i="5" s="1"/>
  <c r="O133" i="1"/>
  <c r="O67" i="1"/>
  <c r="O26" i="6" s="1"/>
  <c r="O27" i="6" s="1"/>
  <c r="O134" i="1"/>
  <c r="O36" i="1" s="1"/>
  <c r="S116" i="1"/>
  <c r="S24" i="1"/>
  <c r="S115" i="1"/>
  <c r="S23" i="1"/>
  <c r="O132" i="1"/>
  <c r="T77" i="2" l="1"/>
  <c r="V13" i="5" s="1"/>
  <c r="T12" i="2"/>
  <c r="T49" i="1" s="1"/>
  <c r="T85" i="1" s="1"/>
  <c r="T23" i="1" s="1"/>
  <c r="S22" i="1"/>
  <c r="T7" i="6"/>
  <c r="V14" i="5"/>
  <c r="S8" i="3"/>
  <c r="S9" i="3"/>
  <c r="S8" i="6"/>
  <c r="U15" i="5"/>
  <c r="M18" i="3"/>
  <c r="M23" i="3" s="1"/>
  <c r="M24" i="3" s="1"/>
  <c r="O42" i="5" s="1"/>
  <c r="O18" i="1"/>
  <c r="L20" i="6"/>
  <c r="O38" i="5"/>
  <c r="M15" i="6"/>
  <c r="M22" i="6" s="1"/>
  <c r="O42" i="6"/>
  <c r="O18" i="6"/>
  <c r="N42" i="5"/>
  <c r="L28" i="3"/>
  <c r="N45" i="5"/>
  <c r="S9" i="1"/>
  <c r="T7" i="3"/>
  <c r="O16" i="1"/>
  <c r="O73" i="1"/>
  <c r="O87" i="1" s="1"/>
  <c r="O17" i="1"/>
  <c r="P53" i="1"/>
  <c r="P55" i="1" s="1"/>
  <c r="N42" i="1"/>
  <c r="O41" i="6"/>
  <c r="O36" i="6"/>
  <c r="O38" i="6" s="1"/>
  <c r="Q27" i="5" s="1"/>
  <c r="O141" i="1"/>
  <c r="O41" i="1" s="1"/>
  <c r="O35" i="1"/>
  <c r="M25" i="3"/>
  <c r="M80" i="3"/>
  <c r="N77" i="3"/>
  <c r="P108" i="1"/>
  <c r="O34" i="1"/>
  <c r="S117" i="1"/>
  <c r="S17" i="6" s="1"/>
  <c r="P109" i="1"/>
  <c r="N37" i="1"/>
  <c r="O142" i="1"/>
  <c r="P110" i="1"/>
  <c r="P64" i="1"/>
  <c r="P126" i="1" s="1"/>
  <c r="P122" i="1"/>
  <c r="P66" i="1"/>
  <c r="P128" i="1" s="1"/>
  <c r="O135" i="1"/>
  <c r="O77" i="3" s="1"/>
  <c r="O140" i="1"/>
  <c r="T84" i="1" l="1"/>
  <c r="T22" i="1" s="1"/>
  <c r="T60" i="3"/>
  <c r="T99" i="3" s="1"/>
  <c r="T6" i="6"/>
  <c r="T6" i="3"/>
  <c r="T80" i="2"/>
  <c r="T9" i="6" s="1"/>
  <c r="T79" i="2"/>
  <c r="T8" i="3" s="1"/>
  <c r="U78" i="2"/>
  <c r="W14" i="5" s="1"/>
  <c r="T6" i="1"/>
  <c r="T86" i="1"/>
  <c r="T116" i="1" s="1"/>
  <c r="O44" i="6"/>
  <c r="O46" i="6" s="1"/>
  <c r="Q28" i="5" s="1"/>
  <c r="M19" i="3"/>
  <c r="O37" i="5" s="1"/>
  <c r="T8" i="6"/>
  <c r="V15" i="5"/>
  <c r="O36" i="5"/>
  <c r="L29" i="3"/>
  <c r="O41" i="5"/>
  <c r="M34" i="3"/>
  <c r="O45" i="5" s="1"/>
  <c r="L23" i="6"/>
  <c r="O19" i="1"/>
  <c r="Q18" i="5" s="1"/>
  <c r="O29" i="1"/>
  <c r="O95" i="1"/>
  <c r="O81" i="1"/>
  <c r="O101" i="1"/>
  <c r="O25" i="1"/>
  <c r="Q19" i="5" s="1"/>
  <c r="P65" i="1"/>
  <c r="P127" i="1" s="1"/>
  <c r="P129" i="1" s="1"/>
  <c r="P35" i="6" s="1"/>
  <c r="P43" i="6" s="1"/>
  <c r="P121" i="1"/>
  <c r="P123" i="1" s="1"/>
  <c r="P18" i="6" s="1"/>
  <c r="U7" i="3"/>
  <c r="U7" i="6"/>
  <c r="N43" i="1"/>
  <c r="P21" i="5" s="1"/>
  <c r="N30" i="1"/>
  <c r="T115" i="1"/>
  <c r="M26" i="3"/>
  <c r="M28" i="3" s="1"/>
  <c r="M29" i="3" s="1"/>
  <c r="N76" i="3"/>
  <c r="M49" i="3"/>
  <c r="T78" i="3"/>
  <c r="T42" i="3"/>
  <c r="N72" i="3"/>
  <c r="N35" i="3"/>
  <c r="P46" i="5" s="1"/>
  <c r="O72" i="3"/>
  <c r="O35" i="3"/>
  <c r="Q46" i="5" s="1"/>
  <c r="N15" i="3"/>
  <c r="P111" i="1"/>
  <c r="P70" i="1"/>
  <c r="P72" i="1"/>
  <c r="P134" i="1"/>
  <c r="P36" i="1" s="1"/>
  <c r="O42" i="1"/>
  <c r="O30" i="1" s="1"/>
  <c r="T9" i="1"/>
  <c r="T9" i="3"/>
  <c r="T8" i="1"/>
  <c r="O143" i="1"/>
  <c r="O40" i="1"/>
  <c r="O28" i="1" s="1"/>
  <c r="P132" i="1"/>
  <c r="U12" i="2"/>
  <c r="U49" i="1" s="1"/>
  <c r="U60" i="3" s="1"/>
  <c r="U99" i="3" s="1"/>
  <c r="U77" i="2"/>
  <c r="W13" i="5" s="1"/>
  <c r="U7" i="1" l="1"/>
  <c r="T114" i="1"/>
  <c r="T24" i="1"/>
  <c r="M19" i="6"/>
  <c r="M20" i="6" s="1"/>
  <c r="M23" i="6" s="1"/>
  <c r="M24" i="6" s="1"/>
  <c r="O24" i="5" s="1"/>
  <c r="O73" i="3"/>
  <c r="O79" i="3" s="1"/>
  <c r="O25" i="3" s="1"/>
  <c r="N73" i="3"/>
  <c r="N79" i="3" s="1"/>
  <c r="L30" i="3"/>
  <c r="L24" i="6"/>
  <c r="P33" i="5"/>
  <c r="N66" i="3"/>
  <c r="N21" i="3" s="1"/>
  <c r="P39" i="5" s="1"/>
  <c r="N64" i="3"/>
  <c r="N17" i="3" s="1"/>
  <c r="P35" i="5" s="1"/>
  <c r="N65" i="3"/>
  <c r="N20" i="3" s="1"/>
  <c r="N67" i="3"/>
  <c r="N22" i="3" s="1"/>
  <c r="P40" i="5" s="1"/>
  <c r="L37" i="3"/>
  <c r="P67" i="1"/>
  <c r="P26" i="6" s="1"/>
  <c r="P27" i="6" s="1"/>
  <c r="P133" i="1"/>
  <c r="P135" i="1" s="1"/>
  <c r="P42" i="6"/>
  <c r="U6" i="3"/>
  <c r="U6" i="6"/>
  <c r="P71" i="1"/>
  <c r="P73" i="1" s="1"/>
  <c r="P101" i="1" s="1"/>
  <c r="P16" i="1"/>
  <c r="N31" i="1"/>
  <c r="P20" i="5" s="1"/>
  <c r="T117" i="1"/>
  <c r="T17" i="6" s="1"/>
  <c r="P34" i="6"/>
  <c r="P84" i="3"/>
  <c r="N85" i="3"/>
  <c r="N86" i="3" s="1"/>
  <c r="N90" i="3"/>
  <c r="U78" i="3"/>
  <c r="U42" i="3"/>
  <c r="M30" i="3"/>
  <c r="M100" i="3" s="1"/>
  <c r="M37" i="3"/>
  <c r="Q108" i="1"/>
  <c r="P34" i="1"/>
  <c r="N16" i="3"/>
  <c r="P34" i="5" s="1"/>
  <c r="O43" i="1"/>
  <c r="Q52" i="1"/>
  <c r="Q120" i="1" s="1"/>
  <c r="P142" i="1"/>
  <c r="Q110" i="1"/>
  <c r="Q54" i="1"/>
  <c r="P18" i="1"/>
  <c r="O37" i="1"/>
  <c r="O15" i="3" s="1"/>
  <c r="P140" i="1"/>
  <c r="U6" i="1"/>
  <c r="U79" i="2"/>
  <c r="U80" i="2"/>
  <c r="U9" i="6" s="1"/>
  <c r="V78" i="2"/>
  <c r="X14" i="5" s="1"/>
  <c r="U84" i="1"/>
  <c r="U86" i="1"/>
  <c r="U85" i="1"/>
  <c r="M29" i="6" l="1"/>
  <c r="O26" i="5" s="1"/>
  <c r="M28" i="6"/>
  <c r="O25" i="5" s="1"/>
  <c r="U8" i="6"/>
  <c r="W15" i="5"/>
  <c r="N25" i="3"/>
  <c r="N80" i="3"/>
  <c r="O76" i="3" s="1"/>
  <c r="O80" i="3" s="1"/>
  <c r="L100" i="3"/>
  <c r="N18" i="3"/>
  <c r="P141" i="1"/>
  <c r="P41" i="1" s="1"/>
  <c r="O67" i="3"/>
  <c r="O22" i="3" s="1"/>
  <c r="Q40" i="5" s="1"/>
  <c r="Q33" i="5"/>
  <c r="O64" i="3"/>
  <c r="O17" i="3" s="1"/>
  <c r="Q35" i="5" s="1"/>
  <c r="O66" i="3"/>
  <c r="O21" i="3" s="1"/>
  <c r="Q39" i="5" s="1"/>
  <c r="O65" i="3"/>
  <c r="O20" i="3" s="1"/>
  <c r="N48" i="5"/>
  <c r="P38" i="5"/>
  <c r="N15" i="6"/>
  <c r="N22" i="6" s="1"/>
  <c r="L29" i="6"/>
  <c r="L28" i="6"/>
  <c r="N24" i="5"/>
  <c r="O31" i="1"/>
  <c r="Q20" i="5" s="1"/>
  <c r="Q21" i="5"/>
  <c r="L101" i="3"/>
  <c r="N23" i="3"/>
  <c r="N34" i="3" s="1"/>
  <c r="P36" i="5"/>
  <c r="P41" i="5"/>
  <c r="O48" i="5"/>
  <c r="Q109" i="1"/>
  <c r="Q111" i="1" s="1"/>
  <c r="P35" i="1"/>
  <c r="P25" i="1"/>
  <c r="R19" i="5" s="1"/>
  <c r="Q53" i="1"/>
  <c r="Q55" i="1" s="1"/>
  <c r="P17" i="1"/>
  <c r="P19" i="1" s="1"/>
  <c r="R18" i="5" s="1"/>
  <c r="V7" i="3"/>
  <c r="V7" i="6"/>
  <c r="P41" i="6"/>
  <c r="P44" i="6" s="1"/>
  <c r="P46" i="6" s="1"/>
  <c r="R28" i="5" s="1"/>
  <c r="P36" i="6"/>
  <c r="P38" i="6" s="1"/>
  <c r="R27" i="5" s="1"/>
  <c r="O85" i="3"/>
  <c r="O86" i="3" s="1"/>
  <c r="O90" i="3"/>
  <c r="P81" i="1"/>
  <c r="P87" i="1"/>
  <c r="O16" i="3"/>
  <c r="Q34" i="5" s="1"/>
  <c r="N19" i="3"/>
  <c r="Q64" i="1"/>
  <c r="Q126" i="1" s="1"/>
  <c r="P95" i="1"/>
  <c r="Q122" i="1"/>
  <c r="Q66" i="1"/>
  <c r="Q128" i="1" s="1"/>
  <c r="P42" i="1"/>
  <c r="P30" i="1" s="1"/>
  <c r="U115" i="1"/>
  <c r="U23" i="1"/>
  <c r="U116" i="1"/>
  <c r="U24" i="1"/>
  <c r="U114" i="1"/>
  <c r="U22" i="1"/>
  <c r="U9" i="1"/>
  <c r="U9" i="3"/>
  <c r="U8" i="1"/>
  <c r="U8" i="3"/>
  <c r="P143" i="1"/>
  <c r="P40" i="1"/>
  <c r="P28" i="1" s="1"/>
  <c r="P77" i="3"/>
  <c r="V7" i="1"/>
  <c r="V12" i="2"/>
  <c r="V49" i="1" s="1"/>
  <c r="V60" i="3" s="1"/>
  <c r="V99" i="3" s="1"/>
  <c r="V77" i="2"/>
  <c r="X13" i="5" s="1"/>
  <c r="N26" i="3" l="1"/>
  <c r="N28" i="3" s="1"/>
  <c r="N29" i="3" s="1"/>
  <c r="O18" i="3"/>
  <c r="O23" i="3" s="1"/>
  <c r="N49" i="3"/>
  <c r="N24" i="3"/>
  <c r="P42" i="5" s="1"/>
  <c r="N26" i="5"/>
  <c r="N25" i="5"/>
  <c r="Q72" i="1"/>
  <c r="Q18" i="1" s="1"/>
  <c r="Q38" i="5"/>
  <c r="O15" i="6"/>
  <c r="O22" i="6" s="1"/>
  <c r="L53" i="3"/>
  <c r="M98" i="3"/>
  <c r="M101" i="3" s="1"/>
  <c r="P37" i="5"/>
  <c r="N19" i="6"/>
  <c r="N20" i="6" s="1"/>
  <c r="N23" i="6" s="1"/>
  <c r="N24" i="6" s="1"/>
  <c r="P24" i="5" s="1"/>
  <c r="P45" i="5"/>
  <c r="P29" i="1"/>
  <c r="V6" i="3"/>
  <c r="V6" i="6"/>
  <c r="Q65" i="1"/>
  <c r="Q127" i="1" s="1"/>
  <c r="Q129" i="1" s="1"/>
  <c r="Q35" i="6" s="1"/>
  <c r="Q43" i="6" s="1"/>
  <c r="Q121" i="1"/>
  <c r="Q123" i="1" s="1"/>
  <c r="Q18" i="6" s="1"/>
  <c r="Q84" i="3"/>
  <c r="Q34" i="6"/>
  <c r="P76" i="3"/>
  <c r="O49" i="3"/>
  <c r="V78" i="3"/>
  <c r="V42" i="3"/>
  <c r="P72" i="3"/>
  <c r="P35" i="3"/>
  <c r="R46" i="5" s="1"/>
  <c r="Q70" i="1"/>
  <c r="P43" i="1"/>
  <c r="U117" i="1"/>
  <c r="U17" i="6" s="1"/>
  <c r="Q134" i="1"/>
  <c r="Q36" i="1" s="1"/>
  <c r="P37" i="1"/>
  <c r="P15" i="3" s="1"/>
  <c r="V84" i="1"/>
  <c r="Q132" i="1"/>
  <c r="V6" i="1"/>
  <c r="V79" i="2"/>
  <c r="V80" i="2"/>
  <c r="V9" i="6" s="1"/>
  <c r="W78" i="2"/>
  <c r="Y14" i="5" s="1"/>
  <c r="V86" i="1"/>
  <c r="V85" i="1"/>
  <c r="O19" i="3" l="1"/>
  <c r="O26" i="3"/>
  <c r="O28" i="3" s="1"/>
  <c r="O29" i="3" s="1"/>
  <c r="Q41" i="5"/>
  <c r="O24" i="3"/>
  <c r="Q42" i="5" s="1"/>
  <c r="Q36" i="5"/>
  <c r="V8" i="6"/>
  <c r="X15" i="5"/>
  <c r="P73" i="3"/>
  <c r="P79" i="3" s="1"/>
  <c r="O34" i="3"/>
  <c r="R54" i="1"/>
  <c r="R122" i="1" s="1"/>
  <c r="N29" i="6"/>
  <c r="P26" i="5" s="1"/>
  <c r="L55" i="3"/>
  <c r="N28" i="6"/>
  <c r="P25" i="5" s="1"/>
  <c r="M53" i="3"/>
  <c r="M55" i="3" s="1"/>
  <c r="N98" i="3"/>
  <c r="P31" i="1"/>
  <c r="R20" i="5" s="1"/>
  <c r="R21" i="5"/>
  <c r="R33" i="5"/>
  <c r="P64" i="3"/>
  <c r="P17" i="3" s="1"/>
  <c r="R35" i="5" s="1"/>
  <c r="P65" i="3"/>
  <c r="P20" i="3" s="1"/>
  <c r="P67" i="3"/>
  <c r="P22" i="3" s="1"/>
  <c r="R40" i="5" s="1"/>
  <c r="P66" i="3"/>
  <c r="P21" i="3" s="1"/>
  <c r="R39" i="5" s="1"/>
  <c r="O19" i="6"/>
  <c r="O20" i="6" s="1"/>
  <c r="O23" i="6" s="1"/>
  <c r="O24" i="6" s="1"/>
  <c r="Q24" i="5" s="1"/>
  <c r="Q37" i="5"/>
  <c r="Q45" i="5"/>
  <c r="Q67" i="1"/>
  <c r="Q26" i="6" s="1"/>
  <c r="Q27" i="6" s="1"/>
  <c r="Q133" i="1"/>
  <c r="R109" i="1" s="1"/>
  <c r="Q71" i="1"/>
  <c r="Q73" i="1" s="1"/>
  <c r="Q101" i="1" s="1"/>
  <c r="W7" i="3"/>
  <c r="W7" i="6"/>
  <c r="R52" i="1"/>
  <c r="Q42" i="6"/>
  <c r="Q41" i="6"/>
  <c r="Q36" i="6"/>
  <c r="Q38" i="6" s="1"/>
  <c r="S27" i="5" s="1"/>
  <c r="P85" i="3"/>
  <c r="P86" i="3" s="1"/>
  <c r="P90" i="3"/>
  <c r="N30" i="3"/>
  <c r="N100" i="3" s="1"/>
  <c r="N37" i="3"/>
  <c r="Q16" i="1"/>
  <c r="R108" i="1"/>
  <c r="Q34" i="1"/>
  <c r="P16" i="3"/>
  <c r="R34" i="5" s="1"/>
  <c r="R110" i="1"/>
  <c r="Q142" i="1"/>
  <c r="V116" i="1"/>
  <c r="V24" i="1"/>
  <c r="V9" i="1"/>
  <c r="V9" i="3"/>
  <c r="V115" i="1"/>
  <c r="V23" i="1"/>
  <c r="V8" i="1"/>
  <c r="V8" i="3"/>
  <c r="V114" i="1"/>
  <c r="V22" i="1"/>
  <c r="Q140" i="1"/>
  <c r="W7" i="1"/>
  <c r="W12" i="2"/>
  <c r="W49" i="1" s="1"/>
  <c r="W60" i="3" s="1"/>
  <c r="W77" i="2"/>
  <c r="Y13" i="5" s="1"/>
  <c r="N101" i="3" l="1"/>
  <c r="O98" i="3" s="1"/>
  <c r="R66" i="1"/>
  <c r="R128" i="1" s="1"/>
  <c r="R134" i="1" s="1"/>
  <c r="R36" i="1" s="1"/>
  <c r="P25" i="3"/>
  <c r="P80" i="3"/>
  <c r="Q76" i="3" s="1"/>
  <c r="W99" i="3"/>
  <c r="P15" i="6"/>
  <c r="P22" i="6" s="1"/>
  <c r="R38" i="5"/>
  <c r="O28" i="6"/>
  <c r="Q25" i="5" s="1"/>
  <c r="O29" i="6"/>
  <c r="Q26" i="5" s="1"/>
  <c r="P18" i="3"/>
  <c r="P19" i="3" s="1"/>
  <c r="P48" i="5"/>
  <c r="Q135" i="1"/>
  <c r="Q141" i="1"/>
  <c r="Q41" i="1" s="1"/>
  <c r="Q17" i="1"/>
  <c r="Q19" i="1" s="1"/>
  <c r="S18" i="5" s="1"/>
  <c r="R53" i="1"/>
  <c r="R121" i="1" s="1"/>
  <c r="Q35" i="1"/>
  <c r="Q81" i="1"/>
  <c r="Q95" i="1"/>
  <c r="Q87" i="1"/>
  <c r="Q25" i="1"/>
  <c r="S19" i="5" s="1"/>
  <c r="W6" i="3"/>
  <c r="L22" i="4" s="1"/>
  <c r="W6" i="6"/>
  <c r="M70" i="4" s="1"/>
  <c r="AB27" i="5" s="1"/>
  <c r="R120" i="1"/>
  <c r="R64" i="1"/>
  <c r="Q44" i="6"/>
  <c r="Q46" i="6" s="1"/>
  <c r="S28" i="5" s="1"/>
  <c r="W78" i="3"/>
  <c r="W42" i="3"/>
  <c r="O30" i="3"/>
  <c r="O100" i="3" s="1"/>
  <c r="O37" i="3"/>
  <c r="R111" i="1"/>
  <c r="V117" i="1"/>
  <c r="V17" i="6" s="1"/>
  <c r="Q42" i="1"/>
  <c r="Q30" i="1" s="1"/>
  <c r="Q40" i="1"/>
  <c r="Q28" i="1" s="1"/>
  <c r="W84" i="1"/>
  <c r="W6" i="1"/>
  <c r="W79" i="2"/>
  <c r="W80" i="2"/>
  <c r="W9" i="6" s="1"/>
  <c r="W85" i="1"/>
  <c r="W86" i="1"/>
  <c r="N53" i="3" l="1"/>
  <c r="L53" i="4" s="1"/>
  <c r="R72" i="1"/>
  <c r="P49" i="3"/>
  <c r="W8" i="6"/>
  <c r="Y15" i="5"/>
  <c r="N54" i="4"/>
  <c r="R36" i="5"/>
  <c r="P23" i="3"/>
  <c r="P26" i="3" s="1"/>
  <c r="P28" i="3" s="1"/>
  <c r="P29" i="3" s="1"/>
  <c r="Q29" i="1"/>
  <c r="AA40" i="5"/>
  <c r="R65" i="1"/>
  <c r="R67" i="1" s="1"/>
  <c r="R55" i="1"/>
  <c r="P19" i="6"/>
  <c r="P20" i="6" s="1"/>
  <c r="P23" i="6" s="1"/>
  <c r="P24" i="6" s="1"/>
  <c r="R24" i="5" s="1"/>
  <c r="R37" i="5"/>
  <c r="Q48" i="5"/>
  <c r="Q77" i="3"/>
  <c r="Q35" i="3" s="1"/>
  <c r="Q143" i="1"/>
  <c r="L42" i="4"/>
  <c r="L54" i="4"/>
  <c r="O54" i="4"/>
  <c r="M54" i="4"/>
  <c r="M71" i="4"/>
  <c r="AB28" i="5" s="1"/>
  <c r="R123" i="1"/>
  <c r="R18" i="6" s="1"/>
  <c r="L49" i="4"/>
  <c r="L25" i="4"/>
  <c r="L21" i="4"/>
  <c r="N42" i="4"/>
  <c r="L35" i="4"/>
  <c r="L15" i="4"/>
  <c r="M42" i="4"/>
  <c r="M60" i="4"/>
  <c r="AB18" i="5" s="1"/>
  <c r="L60" i="4"/>
  <c r="L61" i="4"/>
  <c r="L63" i="4"/>
  <c r="L62" i="4"/>
  <c r="O42" i="4"/>
  <c r="L20" i="4"/>
  <c r="L67" i="4"/>
  <c r="L68" i="4"/>
  <c r="L70" i="4"/>
  <c r="L71" i="4"/>
  <c r="L69" i="4"/>
  <c r="L17" i="4"/>
  <c r="M61" i="4"/>
  <c r="AB19" i="5" s="1"/>
  <c r="R127" i="1"/>
  <c r="R133" i="1" s="1"/>
  <c r="R71" i="1"/>
  <c r="R126" i="1"/>
  <c r="R70" i="1"/>
  <c r="R84" i="3"/>
  <c r="R34" i="6"/>
  <c r="O101" i="3"/>
  <c r="Q43" i="1"/>
  <c r="S21" i="5" s="1"/>
  <c r="S110" i="1"/>
  <c r="R142" i="1"/>
  <c r="S54" i="1"/>
  <c r="R18" i="1"/>
  <c r="W116" i="1"/>
  <c r="W24" i="1"/>
  <c r="W115" i="1"/>
  <c r="W23" i="1"/>
  <c r="W9" i="1"/>
  <c r="W9" i="3"/>
  <c r="W8" i="1"/>
  <c r="W8" i="3"/>
  <c r="W114" i="1"/>
  <c r="W22" i="1"/>
  <c r="Q37" i="1"/>
  <c r="Q15" i="3" s="1"/>
  <c r="N55" i="3" l="1"/>
  <c r="P34" i="3"/>
  <c r="R45" i="5" s="1"/>
  <c r="R26" i="6"/>
  <c r="R27" i="6" s="1"/>
  <c r="P24" i="3"/>
  <c r="R42" i="5" s="1"/>
  <c r="R41" i="5"/>
  <c r="AA33" i="5"/>
  <c r="AA46" i="5"/>
  <c r="M35" i="4"/>
  <c r="AB46" i="5" s="1"/>
  <c r="S46" i="5"/>
  <c r="AA18" i="5"/>
  <c r="AA19" i="5"/>
  <c r="AA26" i="5"/>
  <c r="AA39" i="5"/>
  <c r="AA35" i="5"/>
  <c r="AA28" i="5"/>
  <c r="AA27" i="5"/>
  <c r="AA25" i="5"/>
  <c r="M15" i="4"/>
  <c r="AB33" i="5" s="1"/>
  <c r="S33" i="5"/>
  <c r="Q65" i="3"/>
  <c r="Q20" i="3" s="1"/>
  <c r="Q15" i="6" s="1"/>
  <c r="Q22" i="6" s="1"/>
  <c r="Q64" i="3"/>
  <c r="Q17" i="3" s="1"/>
  <c r="M17" i="4" s="1"/>
  <c r="AB35" i="5" s="1"/>
  <c r="Q67" i="3"/>
  <c r="Q22" i="3" s="1"/>
  <c r="S40" i="5" s="1"/>
  <c r="Q66" i="3"/>
  <c r="Q21" i="3" s="1"/>
  <c r="AA24" i="5"/>
  <c r="L55" i="4"/>
  <c r="AA38" i="5"/>
  <c r="AA20" i="5"/>
  <c r="AA21" i="5"/>
  <c r="P29" i="6"/>
  <c r="R26" i="5" s="1"/>
  <c r="P28" i="6"/>
  <c r="R25" i="5" s="1"/>
  <c r="Q72" i="3"/>
  <c r="R73" i="1"/>
  <c r="R81" i="1" s="1"/>
  <c r="R42" i="6"/>
  <c r="L18" i="4"/>
  <c r="R35" i="1"/>
  <c r="R141" i="1"/>
  <c r="R41" i="1" s="1"/>
  <c r="S109" i="1"/>
  <c r="S53" i="1"/>
  <c r="R17" i="1"/>
  <c r="Q31" i="1"/>
  <c r="M63" i="4"/>
  <c r="AB21" i="5" s="1"/>
  <c r="R132" i="1"/>
  <c r="R129" i="1"/>
  <c r="R35" i="6" s="1"/>
  <c r="R43" i="6" s="1"/>
  <c r="S52" i="1"/>
  <c r="R16" i="1"/>
  <c r="O53" i="3"/>
  <c r="P98" i="3"/>
  <c r="R41" i="6"/>
  <c r="Q85" i="3"/>
  <c r="Q86" i="3" s="1"/>
  <c r="Q88" i="3" s="1"/>
  <c r="Q36" i="3" s="1"/>
  <c r="S47" i="5" s="1"/>
  <c r="Q90" i="3"/>
  <c r="Q92" i="3" s="1"/>
  <c r="L92" i="3"/>
  <c r="N92" i="3"/>
  <c r="P92" i="3"/>
  <c r="M92" i="3"/>
  <c r="O92" i="3"/>
  <c r="P30" i="3"/>
  <c r="P100" i="3" s="1"/>
  <c r="P37" i="3"/>
  <c r="R48" i="5" s="1"/>
  <c r="P88" i="3"/>
  <c r="P36" i="3" s="1"/>
  <c r="R47" i="5" s="1"/>
  <c r="L88" i="3"/>
  <c r="N88" i="3"/>
  <c r="N36" i="3" s="1"/>
  <c r="O88" i="3"/>
  <c r="O36" i="3" s="1"/>
  <c r="Q47" i="5" s="1"/>
  <c r="M88" i="3"/>
  <c r="M36" i="3" s="1"/>
  <c r="Q16" i="3"/>
  <c r="S34" i="5" s="1"/>
  <c r="S66" i="1"/>
  <c r="S72" i="1" s="1"/>
  <c r="S122" i="1"/>
  <c r="R42" i="1"/>
  <c r="R30" i="1" s="1"/>
  <c r="W117" i="1"/>
  <c r="W17" i="6" s="1"/>
  <c r="R25" i="1" l="1"/>
  <c r="T19" i="5" s="1"/>
  <c r="O55" i="3"/>
  <c r="Q18" i="3"/>
  <c r="S36" i="5" s="1"/>
  <c r="Q73" i="3"/>
  <c r="Q79" i="3" s="1"/>
  <c r="S35" i="5"/>
  <c r="M20" i="4"/>
  <c r="AB38" i="5" s="1"/>
  <c r="S38" i="5"/>
  <c r="M22" i="4"/>
  <c r="AB40" i="5" s="1"/>
  <c r="N38" i="3"/>
  <c r="N43" i="3" s="1"/>
  <c r="P47" i="5"/>
  <c r="L36" i="3"/>
  <c r="S39" i="5"/>
  <c r="M21" i="4"/>
  <c r="AB39" i="5" s="1"/>
  <c r="M62" i="4"/>
  <c r="AB20" i="5" s="1"/>
  <c r="S20" i="5"/>
  <c r="M18" i="4"/>
  <c r="AB36" i="5" s="1"/>
  <c r="L50" i="3"/>
  <c r="M16" i="4"/>
  <c r="AB34" i="5" s="1"/>
  <c r="M38" i="3"/>
  <c r="M43" i="3" s="1"/>
  <c r="O47" i="5"/>
  <c r="Q23" i="3"/>
  <c r="Q34" i="3" s="1"/>
  <c r="S45" i="5" s="1"/>
  <c r="L19" i="4"/>
  <c r="AA36" i="5"/>
  <c r="R95" i="1"/>
  <c r="R87" i="1"/>
  <c r="R101" i="1"/>
  <c r="L23" i="4"/>
  <c r="S55" i="1"/>
  <c r="R29" i="1"/>
  <c r="S65" i="1"/>
  <c r="S127" i="1" s="1"/>
  <c r="S121" i="1"/>
  <c r="R19" i="1"/>
  <c r="T18" i="5" s="1"/>
  <c r="R44" i="6"/>
  <c r="R46" i="6" s="1"/>
  <c r="T28" i="5" s="1"/>
  <c r="R36" i="6"/>
  <c r="R38" i="6" s="1"/>
  <c r="T27" i="5" s="1"/>
  <c r="S120" i="1"/>
  <c r="S64" i="1"/>
  <c r="S108" i="1"/>
  <c r="R135" i="1"/>
  <c r="R140" i="1"/>
  <c r="R34" i="1"/>
  <c r="P38" i="3"/>
  <c r="P101" i="3"/>
  <c r="O38" i="3"/>
  <c r="M36" i="4"/>
  <c r="AB47" i="5" s="1"/>
  <c r="O50" i="3"/>
  <c r="O93" i="3"/>
  <c r="M50" i="3"/>
  <c r="M93" i="3"/>
  <c r="P93" i="3"/>
  <c r="P50" i="3"/>
  <c r="N93" i="3"/>
  <c r="N50" i="3"/>
  <c r="L50" i="4" s="1"/>
  <c r="Q93" i="3"/>
  <c r="Q50" i="3"/>
  <c r="M50" i="4" s="1"/>
  <c r="Q19" i="3"/>
  <c r="S18" i="1"/>
  <c r="T54" i="1"/>
  <c r="S128" i="1"/>
  <c r="P49" i="5" l="1"/>
  <c r="Q80" i="3"/>
  <c r="R76" i="3" s="1"/>
  <c r="Q25" i="3"/>
  <c r="Q26" i="3" s="1"/>
  <c r="Q28" i="3" s="1"/>
  <c r="Q29" i="3" s="1"/>
  <c r="L36" i="4"/>
  <c r="AA47" i="5" s="1"/>
  <c r="L38" i="3"/>
  <c r="L43" i="3" s="1"/>
  <c r="Q24" i="3"/>
  <c r="S42" i="5" s="1"/>
  <c r="L26" i="4"/>
  <c r="M19" i="4"/>
  <c r="AB37" i="5" s="1"/>
  <c r="O49" i="5"/>
  <c r="AA37" i="5"/>
  <c r="N47" i="5"/>
  <c r="M23" i="4"/>
  <c r="AB41" i="5" s="1"/>
  <c r="Q19" i="6"/>
  <c r="Q20" i="6" s="1"/>
  <c r="Q23" i="6" s="1"/>
  <c r="Q24" i="6" s="1"/>
  <c r="S24" i="5" s="1"/>
  <c r="S37" i="5"/>
  <c r="S41" i="5"/>
  <c r="L24" i="4"/>
  <c r="O43" i="3"/>
  <c r="Q49" i="5"/>
  <c r="L34" i="4"/>
  <c r="AA41" i="5"/>
  <c r="P43" i="3"/>
  <c r="R49" i="5"/>
  <c r="S71" i="1"/>
  <c r="S17" i="1" s="1"/>
  <c r="S133" i="1"/>
  <c r="T109" i="1" s="1"/>
  <c r="S67" i="1"/>
  <c r="S26" i="6" s="1"/>
  <c r="S27" i="6" s="1"/>
  <c r="S123" i="1"/>
  <c r="S18" i="6" s="1"/>
  <c r="S35" i="1"/>
  <c r="R37" i="1"/>
  <c r="R15" i="3" s="1"/>
  <c r="S111" i="1"/>
  <c r="S126" i="1"/>
  <c r="S132" i="1" s="1"/>
  <c r="S70" i="1"/>
  <c r="R40" i="1"/>
  <c r="R143" i="1"/>
  <c r="R77" i="3"/>
  <c r="Q98" i="3"/>
  <c r="P53" i="3"/>
  <c r="T66" i="1"/>
  <c r="T128" i="1" s="1"/>
  <c r="T122" i="1"/>
  <c r="S134" i="1"/>
  <c r="S36" i="1" s="1"/>
  <c r="Q49" i="3" l="1"/>
  <c r="M49" i="4" s="1"/>
  <c r="M25" i="4"/>
  <c r="M26" i="4" s="1"/>
  <c r="M28" i="4" s="1"/>
  <c r="M29" i="4" s="1"/>
  <c r="M37" i="4" s="1"/>
  <c r="N49" i="5"/>
  <c r="P55" i="3"/>
  <c r="Q29" i="6"/>
  <c r="S26" i="5" s="1"/>
  <c r="M67" i="4"/>
  <c r="AB24" i="5" s="1"/>
  <c r="M24" i="4"/>
  <c r="AB42" i="5" s="1"/>
  <c r="Q28" i="6"/>
  <c r="M68" i="4" s="1"/>
  <c r="AB25" i="5" s="1"/>
  <c r="AA42" i="5"/>
  <c r="R16" i="3"/>
  <c r="T34" i="5" s="1"/>
  <c r="T33" i="5"/>
  <c r="R65" i="3"/>
  <c r="R20" i="3" s="1"/>
  <c r="R15" i="6" s="1"/>
  <c r="R22" i="6" s="1"/>
  <c r="R67" i="3"/>
  <c r="R22" i="3" s="1"/>
  <c r="T40" i="5" s="1"/>
  <c r="R66" i="3"/>
  <c r="R21" i="3" s="1"/>
  <c r="T39" i="5" s="1"/>
  <c r="R64" i="3"/>
  <c r="R17" i="3" s="1"/>
  <c r="T35" i="5" s="1"/>
  <c r="M34" i="4"/>
  <c r="AB45" i="5" s="1"/>
  <c r="S42" i="6"/>
  <c r="L28" i="4"/>
  <c r="AA45" i="5"/>
  <c r="L44" i="3"/>
  <c r="M69" i="4"/>
  <c r="AB26" i="5" s="1"/>
  <c r="T53" i="1"/>
  <c r="T121" i="1" s="1"/>
  <c r="S141" i="1"/>
  <c r="S41" i="1" s="1"/>
  <c r="S29" i="1" s="1"/>
  <c r="R90" i="3"/>
  <c r="R92" i="3" s="1"/>
  <c r="R50" i="3" s="1"/>
  <c r="R85" i="3"/>
  <c r="R86" i="3" s="1"/>
  <c r="R88" i="3" s="1"/>
  <c r="R36" i="3" s="1"/>
  <c r="T47" i="5" s="1"/>
  <c r="R43" i="1"/>
  <c r="R28" i="1"/>
  <c r="T72" i="1"/>
  <c r="T18" i="1" s="1"/>
  <c r="S140" i="1"/>
  <c r="S40" i="1" s="1"/>
  <c r="S34" i="1"/>
  <c r="T108" i="1"/>
  <c r="S34" i="6"/>
  <c r="S84" i="3"/>
  <c r="R72" i="3"/>
  <c r="R35" i="3"/>
  <c r="T46" i="5" s="1"/>
  <c r="S16" i="1"/>
  <c r="S19" i="1" s="1"/>
  <c r="U18" i="5" s="1"/>
  <c r="T52" i="1"/>
  <c r="S73" i="1"/>
  <c r="S25" i="1" s="1"/>
  <c r="U19" i="5" s="1"/>
  <c r="S129" i="1"/>
  <c r="S35" i="6" s="1"/>
  <c r="S43" i="6" s="1"/>
  <c r="Q30" i="3"/>
  <c r="Q100" i="3" s="1"/>
  <c r="Q101" i="3" s="1"/>
  <c r="Q37" i="3"/>
  <c r="S142" i="1"/>
  <c r="T110" i="1"/>
  <c r="S135" i="1"/>
  <c r="S25" i="5" l="1"/>
  <c r="R73" i="3"/>
  <c r="R79" i="3" s="1"/>
  <c r="M41" i="3"/>
  <c r="M44" i="3" s="1"/>
  <c r="N41" i="3" s="1"/>
  <c r="N44" i="3" s="1"/>
  <c r="L29" i="4"/>
  <c r="T38" i="5"/>
  <c r="R18" i="3"/>
  <c r="R19" i="3" s="1"/>
  <c r="R31" i="1"/>
  <c r="T20" i="5" s="1"/>
  <c r="T21" i="5"/>
  <c r="T65" i="1"/>
  <c r="T127" i="1" s="1"/>
  <c r="T133" i="1" s="1"/>
  <c r="T141" i="1" s="1"/>
  <c r="T41" i="1" s="1"/>
  <c r="T37" i="5"/>
  <c r="R19" i="6"/>
  <c r="R20" i="6" s="1"/>
  <c r="R23" i="6" s="1"/>
  <c r="R24" i="6" s="1"/>
  <c r="T24" i="5" s="1"/>
  <c r="R23" i="3"/>
  <c r="T36" i="5"/>
  <c r="L48" i="3"/>
  <c r="N52" i="5"/>
  <c r="M38" i="4"/>
  <c r="AB48" i="5"/>
  <c r="Q38" i="3"/>
  <c r="S48" i="5"/>
  <c r="R93" i="3"/>
  <c r="S28" i="1"/>
  <c r="U54" i="1"/>
  <c r="U66" i="1" s="1"/>
  <c r="U128" i="1" s="1"/>
  <c r="T120" i="1"/>
  <c r="T55" i="1"/>
  <c r="T64" i="1"/>
  <c r="S41" i="6"/>
  <c r="S44" i="6" s="1"/>
  <c r="S46" i="6" s="1"/>
  <c r="U28" i="5" s="1"/>
  <c r="S36" i="6"/>
  <c r="S38" i="6" s="1"/>
  <c r="U27" i="5" s="1"/>
  <c r="S81" i="1"/>
  <c r="S87" i="1"/>
  <c r="S95" i="1"/>
  <c r="S101" i="1"/>
  <c r="T111" i="1"/>
  <c r="T34" i="6" s="1"/>
  <c r="R98" i="3"/>
  <c r="Q53" i="3"/>
  <c r="M30" i="4"/>
  <c r="S77" i="3"/>
  <c r="S35" i="3" s="1"/>
  <c r="U46" i="5" s="1"/>
  <c r="S42" i="1"/>
  <c r="S143" i="1"/>
  <c r="T134" i="1"/>
  <c r="T36" i="1" s="1"/>
  <c r="O52" i="5" l="1"/>
  <c r="T71" i="1"/>
  <c r="U53" i="1" s="1"/>
  <c r="R25" i="3"/>
  <c r="R80" i="3"/>
  <c r="S76" i="3" s="1"/>
  <c r="R26" i="3"/>
  <c r="R28" i="3" s="1"/>
  <c r="R29" i="3" s="1"/>
  <c r="R37" i="3" s="1"/>
  <c r="M48" i="3"/>
  <c r="M51" i="3" s="1"/>
  <c r="M56" i="3" s="1"/>
  <c r="L37" i="4"/>
  <c r="L30" i="4"/>
  <c r="T41" i="5"/>
  <c r="R34" i="3"/>
  <c r="T45" i="5" s="1"/>
  <c r="R24" i="3"/>
  <c r="T42" i="5" s="1"/>
  <c r="L51" i="3"/>
  <c r="R29" i="6"/>
  <c r="T26" i="5" s="1"/>
  <c r="R28" i="6"/>
  <c r="T25" i="5" s="1"/>
  <c r="M43" i="4"/>
  <c r="AB49" i="5"/>
  <c r="P52" i="5"/>
  <c r="N48" i="3"/>
  <c r="O41" i="3"/>
  <c r="O44" i="3" s="1"/>
  <c r="Q43" i="3"/>
  <c r="S49" i="5"/>
  <c r="U109" i="1"/>
  <c r="T35" i="1"/>
  <c r="U121" i="1"/>
  <c r="U65" i="1"/>
  <c r="U127" i="1" s="1"/>
  <c r="S43" i="1"/>
  <c r="S30" i="1"/>
  <c r="U122" i="1"/>
  <c r="T126" i="1"/>
  <c r="T129" i="1" s="1"/>
  <c r="T35" i="6" s="1"/>
  <c r="T43" i="6" s="1"/>
  <c r="T67" i="1"/>
  <c r="T26" i="6" s="1"/>
  <c r="T27" i="6" s="1"/>
  <c r="T70" i="1"/>
  <c r="T84" i="3"/>
  <c r="T123" i="1"/>
  <c r="T18" i="6" s="1"/>
  <c r="T41" i="6"/>
  <c r="Q55" i="3"/>
  <c r="M53" i="4"/>
  <c r="M55" i="4" s="1"/>
  <c r="S72" i="3"/>
  <c r="S73" i="3" s="1"/>
  <c r="U110" i="1"/>
  <c r="T142" i="1"/>
  <c r="S37" i="1"/>
  <c r="S15" i="3" s="1"/>
  <c r="U72" i="1"/>
  <c r="T17" i="1" l="1"/>
  <c r="T29" i="1" s="1"/>
  <c r="R30" i="3"/>
  <c r="R100" i="3" s="1"/>
  <c r="R101" i="3" s="1"/>
  <c r="R49" i="3"/>
  <c r="L56" i="3"/>
  <c r="S31" i="1"/>
  <c r="U20" i="5" s="1"/>
  <c r="U21" i="5"/>
  <c r="U33" i="5"/>
  <c r="S65" i="3"/>
  <c r="S20" i="3" s="1"/>
  <c r="S64" i="3"/>
  <c r="S17" i="3" s="1"/>
  <c r="U35" i="5" s="1"/>
  <c r="S67" i="3"/>
  <c r="S22" i="3" s="1"/>
  <c r="U40" i="5" s="1"/>
  <c r="S66" i="3"/>
  <c r="S21" i="3" s="1"/>
  <c r="U39" i="5" s="1"/>
  <c r="AA48" i="5"/>
  <c r="L38" i="4"/>
  <c r="N51" i="3"/>
  <c r="N56" i="3" s="1"/>
  <c r="L48" i="4"/>
  <c r="Q52" i="5"/>
  <c r="P41" i="3"/>
  <c r="P44" i="3" s="1"/>
  <c r="O48" i="3"/>
  <c r="O51" i="3" s="1"/>
  <c r="O56" i="3" s="1"/>
  <c r="R38" i="3"/>
  <c r="T48" i="5"/>
  <c r="U133" i="1"/>
  <c r="U35" i="1" s="1"/>
  <c r="U71" i="1"/>
  <c r="V53" i="1" s="1"/>
  <c r="T36" i="6"/>
  <c r="T38" i="6" s="1"/>
  <c r="T132" i="1"/>
  <c r="T135" i="1" s="1"/>
  <c r="T42" i="6"/>
  <c r="T44" i="6" s="1"/>
  <c r="T46" i="6" s="1"/>
  <c r="T16" i="1"/>
  <c r="T19" i="1" s="1"/>
  <c r="T73" i="1"/>
  <c r="T25" i="1" s="1"/>
  <c r="U52" i="1"/>
  <c r="S98" i="3"/>
  <c r="R53" i="3"/>
  <c r="R55" i="3" s="1"/>
  <c r="S85" i="3"/>
  <c r="S86" i="3" s="1"/>
  <c r="S88" i="3" s="1"/>
  <c r="S36" i="3" s="1"/>
  <c r="U47" i="5" s="1"/>
  <c r="S90" i="3"/>
  <c r="S92" i="3" s="1"/>
  <c r="S79" i="3"/>
  <c r="S16" i="3"/>
  <c r="U34" i="5" s="1"/>
  <c r="U18" i="1"/>
  <c r="V54" i="1"/>
  <c r="T42" i="1"/>
  <c r="U134" i="1"/>
  <c r="U36" i="1" s="1"/>
  <c r="L51" i="4" l="1"/>
  <c r="N60" i="4"/>
  <c r="AC18" i="5" s="1"/>
  <c r="V18" i="5"/>
  <c r="N61" i="4"/>
  <c r="AC19" i="5" s="1"/>
  <c r="V19" i="5"/>
  <c r="L43" i="4"/>
  <c r="AA49" i="5"/>
  <c r="N70" i="4"/>
  <c r="AC27" i="5" s="1"/>
  <c r="V27" i="5"/>
  <c r="S18" i="3"/>
  <c r="U36" i="5" s="1"/>
  <c r="U38" i="5"/>
  <c r="S15" i="6"/>
  <c r="S22" i="6" s="1"/>
  <c r="N71" i="4"/>
  <c r="AC28" i="5" s="1"/>
  <c r="V28" i="5"/>
  <c r="R52" i="5"/>
  <c r="P48" i="3"/>
  <c r="P51" i="3" s="1"/>
  <c r="P56" i="3" s="1"/>
  <c r="Q41" i="3"/>
  <c r="Q44" i="3" s="1"/>
  <c r="R43" i="3"/>
  <c r="T49" i="5"/>
  <c r="U17" i="1"/>
  <c r="U108" i="1"/>
  <c r="U111" i="1" s="1"/>
  <c r="U34" i="6" s="1"/>
  <c r="T140" i="1"/>
  <c r="T40" i="1" s="1"/>
  <c r="T43" i="1" s="1"/>
  <c r="V109" i="1"/>
  <c r="U141" i="1"/>
  <c r="U41" i="1" s="1"/>
  <c r="T28" i="1"/>
  <c r="T34" i="1"/>
  <c r="T37" i="1" s="1"/>
  <c r="T15" i="3" s="1"/>
  <c r="V65" i="1"/>
  <c r="V127" i="1" s="1"/>
  <c r="V121" i="1"/>
  <c r="T77" i="3"/>
  <c r="T72" i="3" s="1"/>
  <c r="T30" i="1"/>
  <c r="U120" i="1"/>
  <c r="U123" i="1" s="1"/>
  <c r="U18" i="6" s="1"/>
  <c r="U55" i="1"/>
  <c r="U64" i="1"/>
  <c r="T95" i="1"/>
  <c r="T87" i="1"/>
  <c r="T101" i="1"/>
  <c r="T81" i="1"/>
  <c r="S93" i="3"/>
  <c r="S50" i="3"/>
  <c r="S25" i="3"/>
  <c r="S80" i="3"/>
  <c r="U142" i="1"/>
  <c r="V110" i="1"/>
  <c r="V122" i="1"/>
  <c r="V66" i="1"/>
  <c r="V128" i="1" s="1"/>
  <c r="V72" i="1"/>
  <c r="U29" i="1" l="1"/>
  <c r="T73" i="3"/>
  <c r="T79" i="3" s="1"/>
  <c r="T25" i="3" s="1"/>
  <c r="N25" i="4" s="1"/>
  <c r="N63" i="4"/>
  <c r="AC21" i="5" s="1"/>
  <c r="V21" i="5"/>
  <c r="T31" i="1"/>
  <c r="S19" i="3"/>
  <c r="U37" i="5" s="1"/>
  <c r="S23" i="3"/>
  <c r="S24" i="3" s="1"/>
  <c r="U42" i="5" s="1"/>
  <c r="L44" i="4"/>
  <c r="U84" i="3"/>
  <c r="N15" i="4"/>
  <c r="AC33" i="5" s="1"/>
  <c r="T65" i="3"/>
  <c r="T20" i="3" s="1"/>
  <c r="N20" i="4" s="1"/>
  <c r="AC38" i="5" s="1"/>
  <c r="T66" i="3"/>
  <c r="T21" i="3" s="1"/>
  <c r="N21" i="4" s="1"/>
  <c r="AC39" i="5" s="1"/>
  <c r="V33" i="5"/>
  <c r="T67" i="3"/>
  <c r="T22" i="3" s="1"/>
  <c r="T64" i="3"/>
  <c r="T17" i="3" s="1"/>
  <c r="T18" i="3" s="1"/>
  <c r="L56" i="4"/>
  <c r="S52" i="5"/>
  <c r="Q48" i="3"/>
  <c r="R41" i="3"/>
  <c r="R44" i="3" s="1"/>
  <c r="T52" i="5" s="1"/>
  <c r="T143" i="1"/>
  <c r="T35" i="3"/>
  <c r="V133" i="1"/>
  <c r="V141" i="1" s="1"/>
  <c r="V41" i="1" s="1"/>
  <c r="V71" i="1"/>
  <c r="U126" i="1"/>
  <c r="U67" i="1"/>
  <c r="U26" i="6" s="1"/>
  <c r="U27" i="6" s="1"/>
  <c r="U70" i="1"/>
  <c r="U42" i="6"/>
  <c r="U41" i="6"/>
  <c r="S26" i="3"/>
  <c r="S28" i="3" s="1"/>
  <c r="S29" i="3" s="1"/>
  <c r="T85" i="3"/>
  <c r="T86" i="3" s="1"/>
  <c r="T88" i="3" s="1"/>
  <c r="T36" i="3" s="1"/>
  <c r="V47" i="5" s="1"/>
  <c r="T90" i="3"/>
  <c r="T92" i="3" s="1"/>
  <c r="T76" i="3"/>
  <c r="S49" i="3"/>
  <c r="T16" i="3"/>
  <c r="V34" i="5" s="1"/>
  <c r="V18" i="1"/>
  <c r="W54" i="1"/>
  <c r="V134" i="1"/>
  <c r="V36" i="1" s="1"/>
  <c r="U42" i="1"/>
  <c r="U30" i="1" s="1"/>
  <c r="T80" i="3" l="1"/>
  <c r="U76" i="3" s="1"/>
  <c r="T15" i="6"/>
  <c r="T22" i="6" s="1"/>
  <c r="V38" i="5"/>
  <c r="N35" i="4"/>
  <c r="AC46" i="5" s="1"/>
  <c r="V46" i="5"/>
  <c r="V35" i="5"/>
  <c r="V39" i="5"/>
  <c r="M41" i="4"/>
  <c r="M44" i="4" s="1"/>
  <c r="AA52" i="5"/>
  <c r="S19" i="6"/>
  <c r="S20" i="6" s="1"/>
  <c r="S23" i="6" s="1"/>
  <c r="S24" i="6" s="1"/>
  <c r="N62" i="4"/>
  <c r="AC20" i="5" s="1"/>
  <c r="V20" i="5"/>
  <c r="N22" i="4"/>
  <c r="AC40" i="5" s="1"/>
  <c r="V40" i="5"/>
  <c r="N16" i="4"/>
  <c r="AC34" i="5" s="1"/>
  <c r="N17" i="4"/>
  <c r="S34" i="3"/>
  <c r="U45" i="5" s="1"/>
  <c r="U41" i="5"/>
  <c r="T23" i="3"/>
  <c r="T34" i="3" s="1"/>
  <c r="V45" i="5" s="1"/>
  <c r="V36" i="5"/>
  <c r="S41" i="3"/>
  <c r="R48" i="3"/>
  <c r="R51" i="3" s="1"/>
  <c r="R56" i="3" s="1"/>
  <c r="Q51" i="3"/>
  <c r="Q56" i="3" s="1"/>
  <c r="M48" i="4"/>
  <c r="M51" i="4" s="1"/>
  <c r="M56" i="4" s="1"/>
  <c r="W109" i="1"/>
  <c r="V35" i="1"/>
  <c r="W53" i="1"/>
  <c r="V17" i="1"/>
  <c r="V29" i="1" s="1"/>
  <c r="U132" i="1"/>
  <c r="U129" i="1"/>
  <c r="U35" i="6" s="1"/>
  <c r="U73" i="1"/>
  <c r="U95" i="1" s="1"/>
  <c r="U16" i="1"/>
  <c r="U19" i="1" s="1"/>
  <c r="W18" i="5" s="1"/>
  <c r="V52" i="1"/>
  <c r="T50" i="3"/>
  <c r="N50" i="4" s="1"/>
  <c r="T93" i="3"/>
  <c r="S30" i="3"/>
  <c r="S100" i="3" s="1"/>
  <c r="S101" i="3" s="1"/>
  <c r="S37" i="3"/>
  <c r="T19" i="3"/>
  <c r="W110" i="1"/>
  <c r="V142" i="1"/>
  <c r="W122" i="1"/>
  <c r="W66" i="1"/>
  <c r="W128" i="1" s="1"/>
  <c r="T49" i="3" l="1"/>
  <c r="N49" i="4" s="1"/>
  <c r="U24" i="5"/>
  <c r="S29" i="6"/>
  <c r="U26" i="5" s="1"/>
  <c r="S28" i="6"/>
  <c r="U25" i="5" s="1"/>
  <c r="N41" i="4"/>
  <c r="AB52" i="5"/>
  <c r="AC35" i="5"/>
  <c r="N18" i="4"/>
  <c r="N23" i="4" s="1"/>
  <c r="V37" i="5"/>
  <c r="T19" i="6"/>
  <c r="T20" i="6" s="1"/>
  <c r="T23" i="6" s="1"/>
  <c r="T24" i="6" s="1"/>
  <c r="N67" i="4" s="1"/>
  <c r="AC24" i="5" s="1"/>
  <c r="T26" i="3"/>
  <c r="T28" i="3" s="1"/>
  <c r="T29" i="3" s="1"/>
  <c r="T24" i="3"/>
  <c r="V42" i="5" s="1"/>
  <c r="V41" i="5"/>
  <c r="S38" i="3"/>
  <c r="U48" i="5"/>
  <c r="U101" i="1"/>
  <c r="W121" i="1"/>
  <c r="W65" i="1"/>
  <c r="W127" i="1" s="1"/>
  <c r="U25" i="1"/>
  <c r="W19" i="5" s="1"/>
  <c r="U87" i="1"/>
  <c r="U81" i="1"/>
  <c r="U140" i="1"/>
  <c r="V108" i="1"/>
  <c r="V111" i="1" s="1"/>
  <c r="U34" i="1"/>
  <c r="U135" i="1"/>
  <c r="V120" i="1"/>
  <c r="V123" i="1" s="1"/>
  <c r="V18" i="6" s="1"/>
  <c r="V64" i="1"/>
  <c r="V55" i="1"/>
  <c r="U43" i="6"/>
  <c r="U44" i="6" s="1"/>
  <c r="U46" i="6" s="1"/>
  <c r="W28" i="5" s="1"/>
  <c r="U36" i="6"/>
  <c r="U38" i="6" s="1"/>
  <c r="W27" i="5" s="1"/>
  <c r="T98" i="3"/>
  <c r="S53" i="3"/>
  <c r="S55" i="3" s="1"/>
  <c r="W72" i="1"/>
  <c r="V42" i="1"/>
  <c r="V30" i="1" s="1"/>
  <c r="W134" i="1"/>
  <c r="AC41" i="5" l="1"/>
  <c r="N34" i="4"/>
  <c r="AC45" i="5" s="1"/>
  <c r="N26" i="4"/>
  <c r="N28" i="4" s="1"/>
  <c r="N29" i="4" s="1"/>
  <c r="N37" i="4" s="1"/>
  <c r="AC48" i="5" s="1"/>
  <c r="N24" i="4"/>
  <c r="AC42" i="5" s="1"/>
  <c r="N19" i="4"/>
  <c r="AC37" i="5" s="1"/>
  <c r="AC36" i="5"/>
  <c r="T28" i="6"/>
  <c r="V25" i="5" s="1"/>
  <c r="V24" i="5"/>
  <c r="T29" i="6"/>
  <c r="N69" i="4"/>
  <c r="AC26" i="5" s="1"/>
  <c r="V26" i="5"/>
  <c r="S43" i="3"/>
  <c r="S44" i="3" s="1"/>
  <c r="U49" i="5"/>
  <c r="W133" i="1"/>
  <c r="W71" i="1"/>
  <c r="W17" i="1" s="1"/>
  <c r="V42" i="6"/>
  <c r="V34" i="6"/>
  <c r="V84" i="3"/>
  <c r="U40" i="1"/>
  <c r="U143" i="1"/>
  <c r="U37" i="1"/>
  <c r="V67" i="1"/>
  <c r="V26" i="6" s="1"/>
  <c r="V27" i="6" s="1"/>
  <c r="V126" i="1"/>
  <c r="V129" i="1" s="1"/>
  <c r="V35" i="6" s="1"/>
  <c r="V43" i="6" s="1"/>
  <c r="V70" i="1"/>
  <c r="U77" i="3"/>
  <c r="T30" i="3"/>
  <c r="T100" i="3" s="1"/>
  <c r="T101" i="3" s="1"/>
  <c r="T37" i="3"/>
  <c r="W142" i="1"/>
  <c r="W42" i="1" s="1"/>
  <c r="W36" i="1"/>
  <c r="W18" i="1"/>
  <c r="N30" i="4" l="1"/>
  <c r="N68" i="4"/>
  <c r="AC25" i="5" s="1"/>
  <c r="T38" i="3"/>
  <c r="V48" i="5"/>
  <c r="U52" i="5"/>
  <c r="T41" i="3"/>
  <c r="S48" i="3"/>
  <c r="S51" i="3" s="1"/>
  <c r="S56" i="3" s="1"/>
  <c r="U43" i="1"/>
  <c r="U28" i="1"/>
  <c r="W30" i="1"/>
  <c r="W35" i="1"/>
  <c r="W141" i="1"/>
  <c r="W41" i="1" s="1"/>
  <c r="W29" i="1" s="1"/>
  <c r="V36" i="6"/>
  <c r="V38" i="6" s="1"/>
  <c r="X27" i="5" s="1"/>
  <c r="V41" i="6"/>
  <c r="V44" i="6" s="1"/>
  <c r="V46" i="6" s="1"/>
  <c r="X28" i="5" s="1"/>
  <c r="V132" i="1"/>
  <c r="U72" i="3"/>
  <c r="U35" i="3"/>
  <c r="W46" i="5" s="1"/>
  <c r="U15" i="3"/>
  <c r="V16" i="1"/>
  <c r="V19" i="1" s="1"/>
  <c r="X18" i="5" s="1"/>
  <c r="W52" i="1"/>
  <c r="V73" i="1"/>
  <c r="V95" i="1" s="1"/>
  <c r="U98" i="3"/>
  <c r="T53" i="3"/>
  <c r="V101" i="1" l="1"/>
  <c r="U73" i="3"/>
  <c r="U79" i="3" s="1"/>
  <c r="U31" i="1"/>
  <c r="W20" i="5" s="1"/>
  <c r="W21" i="5"/>
  <c r="U65" i="3"/>
  <c r="U20" i="3" s="1"/>
  <c r="U66" i="3"/>
  <c r="U21" i="3" s="1"/>
  <c r="W39" i="5" s="1"/>
  <c r="W33" i="5"/>
  <c r="U64" i="3"/>
  <c r="U17" i="3" s="1"/>
  <c r="W35" i="5" s="1"/>
  <c r="U67" i="3"/>
  <c r="U22" i="3" s="1"/>
  <c r="W40" i="5" s="1"/>
  <c r="T43" i="3"/>
  <c r="T44" i="3" s="1"/>
  <c r="V49" i="5"/>
  <c r="V25" i="1"/>
  <c r="X19" i="5" s="1"/>
  <c r="W120" i="1"/>
  <c r="W123" i="1" s="1"/>
  <c r="W64" i="1"/>
  <c r="W55" i="1"/>
  <c r="U16" i="3"/>
  <c r="W34" i="5" s="1"/>
  <c r="U85" i="3"/>
  <c r="U86" i="3" s="1"/>
  <c r="U88" i="3" s="1"/>
  <c r="U36" i="3" s="1"/>
  <c r="W47" i="5" s="1"/>
  <c r="U90" i="3"/>
  <c r="U92" i="3" s="1"/>
  <c r="W108" i="1"/>
  <c r="W111" i="1" s="1"/>
  <c r="V34" i="1"/>
  <c r="V140" i="1"/>
  <c r="V135" i="1"/>
  <c r="V87" i="1"/>
  <c r="V81" i="1"/>
  <c r="T55" i="3"/>
  <c r="N53" i="4"/>
  <c r="N55" i="4" s="1"/>
  <c r="U25" i="3" l="1"/>
  <c r="U80" i="3"/>
  <c r="V76" i="3" s="1"/>
  <c r="U18" i="3"/>
  <c r="W36" i="5" s="1"/>
  <c r="W42" i="6"/>
  <c r="W18" i="6"/>
  <c r="W38" i="5"/>
  <c r="U15" i="6"/>
  <c r="U22" i="6" s="1"/>
  <c r="V52" i="5"/>
  <c r="T48" i="3"/>
  <c r="U41" i="3"/>
  <c r="V77" i="3"/>
  <c r="W84" i="3"/>
  <c r="W34" i="6"/>
  <c r="W126" i="1"/>
  <c r="W129" i="1" s="1"/>
  <c r="W35" i="6" s="1"/>
  <c r="W67" i="1"/>
  <c r="W26" i="6" s="1"/>
  <c r="V143" i="1"/>
  <c r="V40" i="1"/>
  <c r="U50" i="3"/>
  <c r="U93" i="3"/>
  <c r="U23" i="3"/>
  <c r="W41" i="5" s="1"/>
  <c r="V37" i="1"/>
  <c r="W70" i="1"/>
  <c r="U49" i="3" l="1"/>
  <c r="U19" i="3"/>
  <c r="W37" i="5" s="1"/>
  <c r="W27" i="6"/>
  <c r="W41" i="6"/>
  <c r="W132" i="1"/>
  <c r="W34" i="1" s="1"/>
  <c r="N48" i="4"/>
  <c r="N51" i="4" s="1"/>
  <c r="N56" i="4" s="1"/>
  <c r="T51" i="3"/>
  <c r="T56" i="3" s="1"/>
  <c r="V43" i="1"/>
  <c r="V28" i="1"/>
  <c r="W36" i="6"/>
  <c r="W43" i="6"/>
  <c r="V35" i="3"/>
  <c r="X46" i="5" s="1"/>
  <c r="V72" i="3"/>
  <c r="U34" i="3"/>
  <c r="W45" i="5" s="1"/>
  <c r="U24" i="3"/>
  <c r="W42" i="5" s="1"/>
  <c r="U26" i="3"/>
  <c r="U28" i="3" s="1"/>
  <c r="W16" i="1"/>
  <c r="W19" i="1" s="1"/>
  <c r="W73" i="1"/>
  <c r="W101" i="1" s="1"/>
  <c r="V15" i="3"/>
  <c r="W140" i="1" l="1"/>
  <c r="W143" i="1" s="1"/>
  <c r="U19" i="6"/>
  <c r="U20" i="6" s="1"/>
  <c r="U23" i="6" s="1"/>
  <c r="U24" i="6" s="1"/>
  <c r="W135" i="1"/>
  <c r="W77" i="3" s="1"/>
  <c r="W72" i="3" s="1"/>
  <c r="V73" i="3"/>
  <c r="V79" i="3" s="1"/>
  <c r="W44" i="6"/>
  <c r="W38" i="6"/>
  <c r="Y27" i="5"/>
  <c r="V31" i="1"/>
  <c r="X20" i="5" s="1"/>
  <c r="X21" i="5"/>
  <c r="V66" i="3"/>
  <c r="V21" i="3" s="1"/>
  <c r="X39" i="5" s="1"/>
  <c r="X33" i="5"/>
  <c r="V65" i="3"/>
  <c r="V20" i="3" s="1"/>
  <c r="V67" i="3"/>
  <c r="V22" i="3" s="1"/>
  <c r="X40" i="5" s="1"/>
  <c r="V64" i="3"/>
  <c r="V17" i="3" s="1"/>
  <c r="X35" i="5" s="1"/>
  <c r="O60" i="4"/>
  <c r="Y18" i="5"/>
  <c r="W81" i="1"/>
  <c r="W25" i="1"/>
  <c r="W87" i="1"/>
  <c r="U29" i="3"/>
  <c r="U37" i="3" s="1"/>
  <c r="W95" i="1"/>
  <c r="V90" i="3"/>
  <c r="V92" i="3" s="1"/>
  <c r="V16" i="3"/>
  <c r="X34" i="5" s="1"/>
  <c r="V85" i="3"/>
  <c r="V86" i="3" s="1"/>
  <c r="V88" i="3" s="1"/>
  <c r="V36" i="3" s="1"/>
  <c r="X47" i="5" s="1"/>
  <c r="W37" i="1"/>
  <c r="W15" i="3" s="1"/>
  <c r="W35" i="3" l="1"/>
  <c r="O35" i="4" s="1"/>
  <c r="W40" i="1"/>
  <c r="W24" i="5"/>
  <c r="U29" i="6"/>
  <c r="W26" i="5" s="1"/>
  <c r="U28" i="6"/>
  <c r="W25" i="5" s="1"/>
  <c r="O70" i="4"/>
  <c r="AD27" i="5" s="1"/>
  <c r="AF27" i="5" s="1"/>
  <c r="V25" i="3"/>
  <c r="V80" i="3"/>
  <c r="V49" i="3" s="1"/>
  <c r="W73" i="3"/>
  <c r="AD18" i="5"/>
  <c r="AF18" i="5" s="1"/>
  <c r="W46" i="6"/>
  <c r="V18" i="3"/>
  <c r="X36" i="5" s="1"/>
  <c r="X38" i="5"/>
  <c r="V15" i="6"/>
  <c r="V22" i="6" s="1"/>
  <c r="O61" i="4"/>
  <c r="Y19" i="5"/>
  <c r="O15" i="4"/>
  <c r="W65" i="3"/>
  <c r="W66" i="3"/>
  <c r="Y33" i="5"/>
  <c r="W64" i="3"/>
  <c r="W67" i="3"/>
  <c r="U38" i="3"/>
  <c r="W48" i="5"/>
  <c r="W76" i="3"/>
  <c r="W43" i="1"/>
  <c r="W28" i="1"/>
  <c r="V93" i="3"/>
  <c r="V50" i="3"/>
  <c r="U30" i="3"/>
  <c r="U100" i="3" s="1"/>
  <c r="U101" i="3" s="1"/>
  <c r="W85" i="3"/>
  <c r="W90" i="3"/>
  <c r="W16" i="3"/>
  <c r="Y46" i="5" l="1"/>
  <c r="W92" i="3"/>
  <c r="W17" i="3"/>
  <c r="Y34" i="5"/>
  <c r="W86" i="3"/>
  <c r="V23" i="3"/>
  <c r="X41" i="5" s="1"/>
  <c r="W22" i="3"/>
  <c r="V19" i="3"/>
  <c r="X37" i="5" s="1"/>
  <c r="W21" i="3"/>
  <c r="O21" i="4" s="1"/>
  <c r="W79" i="3"/>
  <c r="W20" i="3"/>
  <c r="AD33" i="5"/>
  <c r="AF33" i="5" s="1"/>
  <c r="AD19" i="5"/>
  <c r="AF19" i="5" s="1"/>
  <c r="AD46" i="5"/>
  <c r="AF46" i="5" s="1"/>
  <c r="O71" i="4"/>
  <c r="Y28" i="5"/>
  <c r="W31" i="1"/>
  <c r="Y21" i="5"/>
  <c r="H18" i="5" s="1"/>
  <c r="O16" i="4"/>
  <c r="U43" i="3"/>
  <c r="U44" i="3" s="1"/>
  <c r="W49" i="5"/>
  <c r="O63" i="4"/>
  <c r="V98" i="3"/>
  <c r="U53" i="3"/>
  <c r="U55" i="3" s="1"/>
  <c r="N36" i="4"/>
  <c r="W50" i="3"/>
  <c r="V26" i="3" l="1"/>
  <c r="V28" i="3" s="1"/>
  <c r="V29" i="3" s="1"/>
  <c r="V37" i="3" s="1"/>
  <c r="V19" i="6"/>
  <c r="V20" i="6" s="1"/>
  <c r="V23" i="6" s="1"/>
  <c r="V24" i="6" s="1"/>
  <c r="V28" i="6" s="1"/>
  <c r="X25" i="5" s="1"/>
  <c r="V24" i="3"/>
  <c r="X42" i="5" s="1"/>
  <c r="V34" i="3"/>
  <c r="X45" i="5" s="1"/>
  <c r="O20" i="4"/>
  <c r="Y39" i="5"/>
  <c r="W25" i="3"/>
  <c r="O50" i="4"/>
  <c r="Y40" i="5"/>
  <c r="O22" i="4"/>
  <c r="W88" i="3"/>
  <c r="Y38" i="5"/>
  <c r="W15" i="6"/>
  <c r="W80" i="3"/>
  <c r="W49" i="3" s="1"/>
  <c r="Y35" i="5"/>
  <c r="O17" i="4"/>
  <c r="W18" i="3"/>
  <c r="W23" i="3" s="1"/>
  <c r="AD34" i="5"/>
  <c r="AD39" i="5"/>
  <c r="AF39" i="5" s="1"/>
  <c r="AD21" i="5"/>
  <c r="AF21" i="5" s="1"/>
  <c r="AD28" i="5"/>
  <c r="AF28" i="5" s="1"/>
  <c r="H20" i="5"/>
  <c r="N38" i="4"/>
  <c r="AC49" i="5" s="1"/>
  <c r="AC47" i="5"/>
  <c r="O62" i="4"/>
  <c r="Y20" i="5"/>
  <c r="W52" i="5"/>
  <c r="U48" i="3"/>
  <c r="U51" i="3" s="1"/>
  <c r="U56" i="3" s="1"/>
  <c r="V41" i="3"/>
  <c r="V29" i="6" l="1"/>
  <c r="X26" i="5" s="1"/>
  <c r="X24" i="5"/>
  <c r="W34" i="3"/>
  <c r="W26" i="3"/>
  <c r="W28" i="3" s="1"/>
  <c r="W24" i="3"/>
  <c r="Y42" i="5" s="1"/>
  <c r="W22" i="6"/>
  <c r="W36" i="3"/>
  <c r="W93" i="3"/>
  <c r="AD40" i="5"/>
  <c r="AF40" i="5" s="1"/>
  <c r="O18" i="4"/>
  <c r="AD35" i="5"/>
  <c r="AF35" i="5" s="1"/>
  <c r="Y45" i="5"/>
  <c r="Y41" i="5"/>
  <c r="W19" i="3"/>
  <c r="Y36" i="5"/>
  <c r="O25" i="4"/>
  <c r="AD38" i="5"/>
  <c r="AF38" i="5" s="1"/>
  <c r="N43" i="4"/>
  <c r="N44" i="4" s="1"/>
  <c r="AC52" i="5" s="1"/>
  <c r="O49" i="4"/>
  <c r="AD20" i="5"/>
  <c r="AF20" i="5" s="1"/>
  <c r="H22" i="5"/>
  <c r="V38" i="3"/>
  <c r="X48" i="5"/>
  <c r="V30" i="3"/>
  <c r="V100" i="3" s="1"/>
  <c r="V101" i="3" s="1"/>
  <c r="V53" i="3" s="1"/>
  <c r="V55" i="3" s="1"/>
  <c r="O41" i="4" l="1"/>
  <c r="Y37" i="5"/>
  <c r="W19" i="6"/>
  <c r="AD36" i="5"/>
  <c r="AF36" i="5" s="1"/>
  <c r="O23" i="4"/>
  <c r="O19" i="4"/>
  <c r="Y47" i="5"/>
  <c r="O36" i="4"/>
  <c r="W29" i="3"/>
  <c r="H23" i="5"/>
  <c r="H25" i="5"/>
  <c r="V43" i="3"/>
  <c r="V44" i="3" s="1"/>
  <c r="X49" i="5"/>
  <c r="W98" i="3"/>
  <c r="AD47" i="5" l="1"/>
  <c r="AF47" i="5" s="1"/>
  <c r="O34" i="4"/>
  <c r="AD41" i="5"/>
  <c r="AF41" i="5" s="1"/>
  <c r="AF42" i="5" s="1"/>
  <c r="O24" i="4"/>
  <c r="O26" i="4"/>
  <c r="W20" i="6"/>
  <c r="AD37" i="5"/>
  <c r="W37" i="3"/>
  <c r="W30" i="3"/>
  <c r="H26" i="5"/>
  <c r="X52" i="5"/>
  <c r="W41" i="3"/>
  <c r="V48" i="3"/>
  <c r="V51" i="3" s="1"/>
  <c r="V56" i="3" s="1"/>
  <c r="W23" i="6" l="1"/>
  <c r="O28" i="4"/>
  <c r="AD42" i="5"/>
  <c r="AD45" i="5"/>
  <c r="AF45" i="5" s="1"/>
  <c r="W100" i="3"/>
  <c r="W38" i="3"/>
  <c r="Y48" i="5"/>
  <c r="H40" i="5"/>
  <c r="O29" i="4" l="1"/>
  <c r="W24" i="6"/>
  <c r="W101" i="3"/>
  <c r="Y49" i="5"/>
  <c r="H29" i="5" s="1"/>
  <c r="W43" i="3"/>
  <c r="H43" i="5"/>
  <c r="H47" i="5"/>
  <c r="H44" i="5"/>
  <c r="H46" i="5"/>
  <c r="H45" i="5"/>
  <c r="K23" i="2"/>
  <c r="K22" i="2"/>
  <c r="K24" i="2" l="1"/>
  <c r="K26" i="2"/>
  <c r="K25" i="2"/>
  <c r="W29" i="6"/>
  <c r="Y24" i="5"/>
  <c r="W28" i="6"/>
  <c r="O67" i="4"/>
  <c r="O30" i="4"/>
  <c r="O37" i="4"/>
  <c r="W44" i="3"/>
  <c r="W53" i="3"/>
  <c r="H48" i="5"/>
  <c r="K28" i="2"/>
  <c r="K27" i="2"/>
  <c r="AD48" i="5" l="1"/>
  <c r="AF48" i="5" s="1"/>
  <c r="O38" i="4"/>
  <c r="AD24" i="5"/>
  <c r="AF24" i="5" s="1"/>
  <c r="Y25" i="5"/>
  <c r="O68" i="4"/>
  <c r="Y26" i="5"/>
  <c r="O69" i="4"/>
  <c r="W55" i="3"/>
  <c r="O53" i="4"/>
  <c r="W48" i="3"/>
  <c r="Y52" i="5"/>
  <c r="H28" i="5" s="1"/>
  <c r="AD26" i="5" l="1"/>
  <c r="AF26" i="5" s="1"/>
  <c r="AD25" i="5"/>
  <c r="AF25" i="5" s="1"/>
  <c r="O43" i="4"/>
  <c r="AD49" i="5"/>
  <c r="AF49" i="5" s="1"/>
  <c r="H31" i="5"/>
  <c r="O48" i="4"/>
  <c r="W51" i="3"/>
  <c r="O55" i="4"/>
  <c r="O44" i="4" l="1"/>
  <c r="W56" i="3"/>
  <c r="O51" i="4"/>
  <c r="AD52" i="5" l="1"/>
  <c r="AF52" i="5" s="1"/>
  <c r="O5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Alice</author>
  </authors>
  <commentList>
    <comment ref="H50" authorId="0" shapeId="0" xr:uid="{3F03CCC8-03C4-4F13-9C1C-869304BAD1FF}">
      <text>
        <r>
          <rPr>
            <b/>
            <sz val="9"/>
            <color indexed="81"/>
            <rFont val="Tahoma"/>
            <family val="2"/>
          </rPr>
          <t xml:space="preserve">Ryan Dharma:
</t>
        </r>
        <r>
          <rPr>
            <sz val="9"/>
            <color indexed="81"/>
            <rFont val="Tahoma"/>
            <family val="2"/>
          </rPr>
          <t>Assumption from prompt</t>
        </r>
      </text>
    </comment>
    <comment ref="K50" authorId="0" shapeId="0" xr:uid="{ADE204C3-EE81-4AFF-A218-7DBAAAF782A0}">
      <text>
        <r>
          <rPr>
            <b/>
            <sz val="9"/>
            <color indexed="81"/>
            <rFont val="Tahoma"/>
            <family val="2"/>
          </rPr>
          <t xml:space="preserve">Ryan Dharma:
</t>
        </r>
        <r>
          <rPr>
            <sz val="9"/>
            <color indexed="81"/>
            <rFont val="Tahoma"/>
            <family val="2"/>
          </rPr>
          <t>Assumption from prompt</t>
        </r>
      </text>
    </comment>
    <comment ref="M50" authorId="0" shapeId="0" xr:uid="{0D214565-AF38-481F-98B8-81FDFE0A46D2}">
      <text>
        <r>
          <rPr>
            <b/>
            <sz val="9"/>
            <color indexed="81"/>
            <rFont val="Tahoma"/>
            <family val="2"/>
          </rPr>
          <t xml:space="preserve">Ryan Dharma:
</t>
        </r>
        <r>
          <rPr>
            <sz val="9"/>
            <color indexed="81"/>
            <rFont val="Tahoma"/>
            <family val="2"/>
          </rPr>
          <t>Assumption from prompt</t>
        </r>
      </text>
    </comment>
    <comment ref="H51" authorId="0" shapeId="0" xr:uid="{21F61264-6819-44C0-AC35-48D0E487E111}">
      <text>
        <r>
          <rPr>
            <b/>
            <sz val="9"/>
            <color indexed="81"/>
            <rFont val="Tahoma"/>
            <family val="2"/>
          </rPr>
          <t xml:space="preserve">Ryan Dharma:
</t>
        </r>
        <r>
          <rPr>
            <sz val="9"/>
            <color indexed="81"/>
            <rFont val="Tahoma"/>
            <family val="2"/>
          </rPr>
          <t>Assumption from prompt</t>
        </r>
      </text>
    </comment>
    <comment ref="K51" authorId="0" shapeId="0" xr:uid="{5D79D654-7C0E-4C54-B5D0-3032730FA02E}">
      <text>
        <r>
          <rPr>
            <b/>
            <sz val="9"/>
            <color indexed="81"/>
            <rFont val="Tahoma"/>
            <family val="2"/>
          </rPr>
          <t xml:space="preserve">Ryan Dharma:
</t>
        </r>
        <r>
          <rPr>
            <sz val="9"/>
            <color indexed="81"/>
            <rFont val="Tahoma"/>
            <family val="2"/>
          </rPr>
          <t>Assumption from prompt</t>
        </r>
      </text>
    </comment>
    <comment ref="M51" authorId="0" shapeId="0" xr:uid="{6617438D-BCF7-486B-A0AC-C1B513773A8E}">
      <text>
        <r>
          <rPr>
            <b/>
            <sz val="9"/>
            <color indexed="81"/>
            <rFont val="Tahoma"/>
            <family val="2"/>
          </rPr>
          <t xml:space="preserve">Ryan Dharma:
</t>
        </r>
        <r>
          <rPr>
            <sz val="9"/>
            <color indexed="81"/>
            <rFont val="Tahoma"/>
            <family val="2"/>
          </rPr>
          <t>Assumption from prompt</t>
        </r>
      </text>
    </comment>
    <comment ref="H52" authorId="0" shapeId="0" xr:uid="{07DD461D-984B-49EB-B9F3-DC58B046EAD9}">
      <text>
        <r>
          <rPr>
            <b/>
            <sz val="9"/>
            <color indexed="81"/>
            <rFont val="Tahoma"/>
            <family val="2"/>
          </rPr>
          <t xml:space="preserve">Ryan Dharma:
</t>
        </r>
        <r>
          <rPr>
            <sz val="9"/>
            <color indexed="81"/>
            <rFont val="Tahoma"/>
            <family val="2"/>
          </rPr>
          <t>Assumption from prompt</t>
        </r>
      </text>
    </comment>
    <comment ref="K52" authorId="0" shapeId="0" xr:uid="{EDEB6489-F83D-4E5D-8C01-2EB1FCDA03F4}">
      <text>
        <r>
          <rPr>
            <b/>
            <sz val="9"/>
            <color indexed="81"/>
            <rFont val="Tahoma"/>
            <family val="2"/>
          </rPr>
          <t xml:space="preserve">Ryan Dharma:
</t>
        </r>
        <r>
          <rPr>
            <sz val="9"/>
            <color indexed="81"/>
            <rFont val="Tahoma"/>
            <family val="2"/>
          </rPr>
          <t>Assumption from prompt</t>
        </r>
      </text>
    </comment>
    <comment ref="M52" authorId="0" shapeId="0" xr:uid="{3AF6898F-D9F8-4998-8ADD-0D3AAD48F5A9}">
      <text>
        <r>
          <rPr>
            <b/>
            <sz val="9"/>
            <color indexed="81"/>
            <rFont val="Tahoma"/>
            <family val="2"/>
          </rPr>
          <t xml:space="preserve">Ryan Dharma:
</t>
        </r>
        <r>
          <rPr>
            <sz val="9"/>
            <color indexed="81"/>
            <rFont val="Tahoma"/>
            <family val="2"/>
          </rPr>
          <t>Assumption from prompt</t>
        </r>
      </text>
    </comment>
    <comment ref="H53" authorId="0" shapeId="0" xr:uid="{E5B31B42-C399-441C-B389-495FDB30EC3B}">
      <text>
        <r>
          <rPr>
            <b/>
            <sz val="9"/>
            <color indexed="81"/>
            <rFont val="Tahoma"/>
            <family val="2"/>
          </rPr>
          <t xml:space="preserve">Ryan Dharma:
</t>
        </r>
        <r>
          <rPr>
            <sz val="9"/>
            <color indexed="81"/>
            <rFont val="Tahoma"/>
            <family val="2"/>
          </rPr>
          <t>Assumption from prompt</t>
        </r>
      </text>
    </comment>
    <comment ref="K53" authorId="0" shapeId="0" xr:uid="{9D2C7799-6E7A-486B-AA14-415FBCF25641}">
      <text>
        <r>
          <rPr>
            <b/>
            <sz val="9"/>
            <color indexed="81"/>
            <rFont val="Tahoma"/>
            <family val="2"/>
          </rPr>
          <t xml:space="preserve">Ryan Dharma:
</t>
        </r>
        <r>
          <rPr>
            <sz val="9"/>
            <color indexed="81"/>
            <rFont val="Tahoma"/>
            <family val="2"/>
          </rPr>
          <t>Assumption from prompt</t>
        </r>
      </text>
    </comment>
    <comment ref="M53" authorId="0" shapeId="0" xr:uid="{5722638D-3D4D-4A83-9A0E-5F8674D9FF4A}">
      <text>
        <r>
          <rPr>
            <b/>
            <sz val="9"/>
            <color indexed="81"/>
            <rFont val="Tahoma"/>
            <family val="2"/>
          </rPr>
          <t xml:space="preserve">Ryan Dharma:
</t>
        </r>
        <r>
          <rPr>
            <sz val="9"/>
            <color indexed="81"/>
            <rFont val="Tahoma"/>
            <family val="2"/>
          </rPr>
          <t>Assumption from prompt</t>
        </r>
      </text>
    </comment>
    <comment ref="H58" authorId="0" shapeId="0" xr:uid="{D76BE880-5C46-492E-B5AF-5B052FC82D76}">
      <text>
        <r>
          <rPr>
            <b/>
            <sz val="9"/>
            <color indexed="81"/>
            <rFont val="Tahoma"/>
            <family val="2"/>
          </rPr>
          <t xml:space="preserve">Ryan Dharma:
</t>
        </r>
        <r>
          <rPr>
            <sz val="9"/>
            <color indexed="81"/>
            <rFont val="Tahoma"/>
            <family val="2"/>
          </rPr>
          <t>Assumption from prompt</t>
        </r>
      </text>
    </comment>
    <comment ref="I61" authorId="0" shapeId="0" xr:uid="{A5F605A5-8B11-4539-A1B6-7697B4A94814}">
      <text>
        <r>
          <rPr>
            <b/>
            <sz val="9"/>
            <color indexed="81"/>
            <rFont val="Tahoma"/>
            <family val="2"/>
          </rPr>
          <t xml:space="preserve">Ryan Dharma:
</t>
        </r>
        <r>
          <rPr>
            <sz val="9"/>
            <color indexed="81"/>
            <rFont val="Tahoma"/>
            <family val="2"/>
          </rPr>
          <t>Assumption from prompt</t>
        </r>
      </text>
    </comment>
    <comment ref="J61" authorId="0" shapeId="0" xr:uid="{0AD3F761-DEA7-4014-AE6C-6E35B02F5D1E}">
      <text>
        <r>
          <rPr>
            <b/>
            <sz val="9"/>
            <color indexed="81"/>
            <rFont val="Tahoma"/>
            <family val="2"/>
          </rPr>
          <t xml:space="preserve">Ryan Dharma:
</t>
        </r>
        <r>
          <rPr>
            <sz val="9"/>
            <color indexed="81"/>
            <rFont val="Tahoma"/>
            <family val="2"/>
          </rPr>
          <t>Assumption from prompt</t>
        </r>
      </text>
    </comment>
    <comment ref="I62" authorId="0" shapeId="0" xr:uid="{AD7EA4F6-7031-4D99-8761-319D58C9220D}">
      <text>
        <r>
          <rPr>
            <b/>
            <sz val="9"/>
            <color indexed="81"/>
            <rFont val="Tahoma"/>
            <family val="2"/>
          </rPr>
          <t xml:space="preserve">Ryan Dharma:
</t>
        </r>
        <r>
          <rPr>
            <sz val="9"/>
            <color indexed="81"/>
            <rFont val="Tahoma"/>
            <family val="2"/>
          </rPr>
          <t>Assumption from prompt</t>
        </r>
      </text>
    </comment>
    <comment ref="J62" authorId="0" shapeId="0" xr:uid="{1C2AB989-9EAE-4441-963A-2A28531B1630}">
      <text>
        <r>
          <rPr>
            <b/>
            <sz val="9"/>
            <color indexed="81"/>
            <rFont val="Tahoma"/>
            <family val="2"/>
          </rPr>
          <t xml:space="preserve">Ryan Dharma:
</t>
        </r>
        <r>
          <rPr>
            <sz val="9"/>
            <color indexed="81"/>
            <rFont val="Tahoma"/>
            <family val="2"/>
          </rPr>
          <t>Assumption from prompt</t>
        </r>
      </text>
    </comment>
    <comment ref="H67" authorId="0" shapeId="0" xr:uid="{3BDF08C3-FD46-4CD3-B389-0E0427420165}">
      <text>
        <r>
          <rPr>
            <b/>
            <sz val="9"/>
            <color indexed="81"/>
            <rFont val="Tahoma"/>
            <family val="2"/>
          </rPr>
          <t xml:space="preserve">Ryan Dharma:
</t>
        </r>
        <r>
          <rPr>
            <sz val="9"/>
            <color indexed="81"/>
            <rFont val="Tahoma"/>
            <family val="2"/>
          </rPr>
          <t>Assumption from prompt</t>
        </r>
      </text>
    </comment>
    <comment ref="H68" authorId="0" shapeId="0" xr:uid="{7F94EE92-2D7F-4E4E-B123-FF73F0CA1426}">
      <text>
        <r>
          <rPr>
            <b/>
            <sz val="9"/>
            <color indexed="81"/>
            <rFont val="Tahoma"/>
            <family val="2"/>
          </rPr>
          <t xml:space="preserve">Ryan Dharma:
</t>
        </r>
        <r>
          <rPr>
            <sz val="9"/>
            <color indexed="81"/>
            <rFont val="Tahoma"/>
            <family val="2"/>
          </rPr>
          <t>Assumption from prompt</t>
        </r>
      </text>
    </comment>
  </commentList>
</comments>
</file>

<file path=xl/sharedStrings.xml><?xml version="1.0" encoding="utf-8"?>
<sst xmlns="http://schemas.openxmlformats.org/spreadsheetml/2006/main" count="598" uniqueCount="228">
  <si>
    <t>X</t>
  </si>
  <si>
    <t>Model Inputs</t>
  </si>
  <si>
    <t>Model Start</t>
  </si>
  <si>
    <t>Units</t>
  </si>
  <si>
    <t>Input I</t>
  </si>
  <si>
    <t>Total</t>
  </si>
  <si>
    <t>Period End</t>
  </si>
  <si>
    <t>Period Start</t>
  </si>
  <si>
    <t>Calendar Year</t>
  </si>
  <si>
    <t>Days in Period</t>
  </si>
  <si>
    <t>Input II</t>
  </si>
  <si>
    <t>Input III</t>
  </si>
  <si>
    <t>date</t>
  </si>
  <si>
    <t>year</t>
  </si>
  <si>
    <t>[1,0]</t>
  </si>
  <si>
    <t>#</t>
  </si>
  <si>
    <t>%</t>
  </si>
  <si>
    <t>Check</t>
  </si>
  <si>
    <t>Tax Rate</t>
  </si>
  <si>
    <t>x</t>
  </si>
  <si>
    <t>ARR</t>
  </si>
  <si>
    <t>SMB</t>
  </si>
  <si>
    <t>Mid-Market</t>
  </si>
  <si>
    <t>Enterprise</t>
  </si>
  <si>
    <t>Opening Customers</t>
  </si>
  <si>
    <t>New Adds / Month</t>
  </si>
  <si>
    <t>Average Seats / Customer</t>
  </si>
  <si>
    <t>Platform Fee / Customer / Month</t>
  </si>
  <si>
    <t>Per Seat Fee / Month</t>
  </si>
  <si>
    <t>Monthly Churn</t>
  </si>
  <si>
    <t>$</t>
  </si>
  <si>
    <t>$k</t>
  </si>
  <si>
    <t>COGS</t>
  </si>
  <si>
    <t>Sales &amp; Marketing</t>
  </si>
  <si>
    <t>Product &amp; Engineering</t>
  </si>
  <si>
    <t>G&amp;A</t>
  </si>
  <si>
    <t>Capex</t>
  </si>
  <si>
    <t>Depreciation</t>
  </si>
  <si>
    <t>Cash Balance</t>
  </si>
  <si>
    <t>Opening</t>
  </si>
  <si>
    <t>Monthly</t>
  </si>
  <si>
    <t>Quarterly</t>
  </si>
  <si>
    <t>Customer Volumes</t>
  </si>
  <si>
    <t>Start of Model</t>
  </si>
  <si>
    <t>Monthly Seats Expansion</t>
  </si>
  <si>
    <t>MRR</t>
  </si>
  <si>
    <t>Annual Planning Model | Monthly ARR</t>
  </si>
  <si>
    <t>Less: COGS</t>
  </si>
  <si>
    <t>Gross Profit</t>
  </si>
  <si>
    <t>EBITDA</t>
  </si>
  <si>
    <t>Opening PPE</t>
  </si>
  <si>
    <t>% revenue</t>
  </si>
  <si>
    <t>Contributed Capital</t>
  </si>
  <si>
    <t>% margin</t>
  </si>
  <si>
    <t>% growth</t>
  </si>
  <si>
    <t>Less: Sales &amp; Marketing</t>
  </si>
  <si>
    <t>Less: Product &amp; Engineering</t>
  </si>
  <si>
    <t>Less: G&amp;A</t>
  </si>
  <si>
    <t>Less: Depreciation</t>
  </si>
  <si>
    <t>EBIT</t>
  </si>
  <si>
    <t>Less: Interest Expense</t>
  </si>
  <si>
    <t>EBT</t>
  </si>
  <si>
    <t>Less: Tax Expense</t>
  </si>
  <si>
    <t>PAT</t>
  </si>
  <si>
    <t>Add: Capex</t>
  </si>
  <si>
    <t>Add: Rollforward of Historical Balance</t>
  </si>
  <si>
    <t>Incremental Additions to PPE</t>
  </si>
  <si>
    <t>Historical Cost Base to Depreciate</t>
  </si>
  <si>
    <t>Depreciation Period Counter</t>
  </si>
  <si>
    <t>% of taxable income</t>
  </si>
  <si>
    <t>Profit &amp; Loss</t>
  </si>
  <si>
    <t>Less: Capex</t>
  </si>
  <si>
    <t>Net Working Capital</t>
  </si>
  <si>
    <t>Average Net Working Capital Days</t>
  </si>
  <si>
    <t>Balance Sheet</t>
  </si>
  <si>
    <t>days to revenue</t>
  </si>
  <si>
    <t>Opening MRR</t>
  </si>
  <si>
    <t>Net Working Capital Days</t>
  </si>
  <si>
    <t>Opening MRR [A]</t>
  </si>
  <si>
    <t>Closing MRR [B]</t>
  </si>
  <si>
    <t>iMRR [B - A]</t>
  </si>
  <si>
    <t>Less: Change in Net Working Capital</t>
  </si>
  <si>
    <t>Less: Cash Taxes Paid</t>
  </si>
  <si>
    <t>Cash and Cash Equivalents</t>
  </si>
  <si>
    <t>Add / Less: Cash (Burn) / Accrual</t>
  </si>
  <si>
    <t>Fixed Assets</t>
  </si>
  <si>
    <t>Net Assets</t>
  </si>
  <si>
    <t>Accumulated Losses</t>
  </si>
  <si>
    <t>SaaS Metrics</t>
  </si>
  <si>
    <t>CAC Payback</t>
  </si>
  <si>
    <t>Annual Planning Model | Summary Monthly Financials</t>
  </si>
  <si>
    <t>Add / Less: PAT</t>
  </si>
  <si>
    <t>Annual Planning Model | Monthly SaaS Metrics</t>
  </si>
  <si>
    <t>S&amp;M</t>
  </si>
  <si>
    <t>Expansion MRR</t>
  </si>
  <si>
    <t>Gross Margin (%)</t>
  </si>
  <si>
    <t>Gross Margin</t>
  </si>
  <si>
    <t>Churn MRR</t>
  </si>
  <si>
    <t>GDR (%)</t>
  </si>
  <si>
    <t>NDR (%)</t>
  </si>
  <si>
    <t>months</t>
  </si>
  <si>
    <t>Annual Planning Model | Quarterly Rollup Metrics</t>
  </si>
  <si>
    <t>Operating Metrics</t>
  </si>
  <si>
    <t>Average ARR / Customer</t>
  </si>
  <si>
    <t>Weighted Average Customer Life</t>
  </si>
  <si>
    <t>Weighted Average Churn</t>
  </si>
  <si>
    <t>CAC Payback % of Customer Life</t>
  </si>
  <si>
    <t>Implied S&amp;M Multiple on Customer Acquisition</t>
  </si>
  <si>
    <t>Pre-Money Series B Valuation for Selected Peers</t>
  </si>
  <si>
    <t>Net Debt ($m)</t>
  </si>
  <si>
    <t>EqVal ($m)</t>
  </si>
  <si>
    <t>NTM ARR ($m)</t>
  </si>
  <si>
    <t>NTM EV / ARR (x)</t>
  </si>
  <si>
    <t>LTM ARR ($m)</t>
  </si>
  <si>
    <t>NTM / LTM ARR (x)</t>
  </si>
  <si>
    <t>Cap Table</t>
  </si>
  <si>
    <t>Fundraising History</t>
  </si>
  <si>
    <t>Seed</t>
  </si>
  <si>
    <t>Series A</t>
  </si>
  <si>
    <t>Pre-Money Valuation</t>
  </si>
  <si>
    <t>Funding Amount</t>
  </si>
  <si>
    <t>Founders</t>
  </si>
  <si>
    <t>Ownership Pool for Employees</t>
  </si>
  <si>
    <t>Model Dashboard</t>
  </si>
  <si>
    <t>Fundraising Summary</t>
  </si>
  <si>
    <t>Financial Summary</t>
  </si>
  <si>
    <t>Incoming Investor Ownership</t>
  </si>
  <si>
    <t>Series B</t>
  </si>
  <si>
    <t>Seed Investors</t>
  </si>
  <si>
    <t>Series A Investors</t>
  </si>
  <si>
    <t>Series B Investors</t>
  </si>
  <si>
    <t>Expected Multiplier to FY27</t>
  </si>
  <si>
    <t>NTM (FY27) ARR</t>
  </si>
  <si>
    <t>LTM ARR at End of Fiscal Year</t>
  </si>
  <si>
    <t>Enterprise Value (Pre-Money)</t>
  </si>
  <si>
    <t>Intended Dilution</t>
  </si>
  <si>
    <t>Fundraising Amount</t>
  </si>
  <si>
    <t>Founding</t>
  </si>
  <si>
    <t>Employees</t>
  </si>
  <si>
    <t>Enterprise Value (Post-Money)</t>
  </si>
  <si>
    <t>Annual</t>
  </si>
  <si>
    <t>EqVal ($m, Post-Money)</t>
  </si>
  <si>
    <t>Equity Value (Post-Money) ($m)</t>
  </si>
  <si>
    <t>Post-Fundraising Cash Balance</t>
  </si>
  <si>
    <t>FY26 Cash Burn</t>
  </si>
  <si>
    <t>Runway Post-Fundraising</t>
  </si>
  <si>
    <t>Total / 
Wt. Avg.</t>
  </si>
  <si>
    <t>BI Peer 1</t>
  </si>
  <si>
    <t>BI Peer 2</t>
  </si>
  <si>
    <t>BI Peer 3</t>
  </si>
  <si>
    <t>BI Peer 4</t>
  </si>
  <si>
    <t>NTM ARR Multiple (Pre-Money)</t>
  </si>
  <si>
    <t>Implied LTM ARR Multiple (Pre-Money)</t>
  </si>
  <si>
    <t>% historical cost per month</t>
  </si>
  <si>
    <t>Addition MRR</t>
  </si>
  <si>
    <t>% MRR</t>
  </si>
  <si>
    <t>% revenue growth</t>
  </si>
  <si>
    <t>% EBITDA margin</t>
  </si>
  <si>
    <t>% gross margin</t>
  </si>
  <si>
    <t>EV ($m)</t>
  </si>
  <si>
    <t>Project Oracle</t>
  </si>
  <si>
    <t>Project Oracle Expected NTM ARR Multiplier</t>
  </si>
  <si>
    <t>Project Oracle NTM EV / ARR</t>
  </si>
  <si>
    <t>Project Oracle Series B Expected Dilution</t>
  </si>
  <si>
    <t>Monthly Calculations</t>
  </si>
  <si>
    <t>Quarterly Rollup</t>
  </si>
  <si>
    <t>TIMING</t>
  </si>
  <si>
    <t>HISTORICAL FINANCIAL DATA</t>
  </si>
  <si>
    <t>MODEL INPUTS</t>
  </si>
  <si>
    <t>FUNDRAISING INPUTS</t>
  </si>
  <si>
    <t>COHORT DATA</t>
  </si>
  <si>
    <t>COST STRUCTURE &amp; MARGIN</t>
  </si>
  <si>
    <t>BALANCE SHEET</t>
  </si>
  <si>
    <t>EQUITY</t>
  </si>
  <si>
    <t>TIME SERIES</t>
  </si>
  <si>
    <t>MONTHLY</t>
  </si>
  <si>
    <t>QUARTERLY</t>
  </si>
  <si>
    <t>MEDIAN</t>
  </si>
  <si>
    <t>POST-MONEY VALUATION</t>
  </si>
  <si>
    <t>EQUITY OWNERSHIP OVER TIME</t>
  </si>
  <si>
    <t>END OF SHEET</t>
  </si>
  <si>
    <t>CUMULATIVE</t>
  </si>
  <si>
    <t>DASHBOARD</t>
  </si>
  <si>
    <t>TOTAL</t>
  </si>
  <si>
    <t>OPENING</t>
  </si>
  <si>
    <t>CLOSING</t>
  </si>
  <si>
    <t>CHURN</t>
  </si>
  <si>
    <t>ADDITIONS</t>
  </si>
  <si>
    <t># OF CUSTOMERS</t>
  </si>
  <si>
    <t>COHORT VOLUMES</t>
  </si>
  <si>
    <t>SEAT EXPANSION</t>
  </si>
  <si>
    <t>WEIGHTED AVERAGE</t>
  </si>
  <si>
    <t>AVG. # OF SEATS</t>
  </si>
  <si>
    <t># OF SEATS</t>
  </si>
  <si>
    <t>SUMMARY</t>
  </si>
  <si>
    <t>CUSTOMER VOLUMES</t>
  </si>
  <si>
    <t>AVG. SEATS / CUSTOMER</t>
  </si>
  <si>
    <t>AVERAGE ARR / CUSTOMER</t>
  </si>
  <si>
    <t>COHORT PRICING</t>
  </si>
  <si>
    <t>PLATFORM FEE / CUSTOMER / MONTH</t>
  </si>
  <si>
    <t>PER SEAT FEE / MONTH</t>
  </si>
  <si>
    <t>RECURRING REVENUE</t>
  </si>
  <si>
    <t>EXPANSION</t>
  </si>
  <si>
    <t>PROFIT &amp; LOSS</t>
  </si>
  <si>
    <t>CASH FLOW STATEMENT</t>
  </si>
  <si>
    <t>CASH (BURN) / ACCRUAL</t>
  </si>
  <si>
    <t>CASH AND CASH EQUIVALENTS</t>
  </si>
  <si>
    <t>TOTAL EQUITY</t>
  </si>
  <si>
    <t>NET ASSETS</t>
  </si>
  <si>
    <t>SUPPORTING SCHEDULES</t>
  </si>
  <si>
    <t>COST STRUCTURE</t>
  </si>
  <si>
    <t>FIXED ASSET SCHEDULE</t>
  </si>
  <si>
    <t>BALANCE</t>
  </si>
  <si>
    <t>NET WORKING CAPITAL</t>
  </si>
  <si>
    <t>CHANGE IN NET WORKING CAPITAL</t>
  </si>
  <si>
    <t>TOTAL NET WORKING CAPITAL</t>
  </si>
  <si>
    <t>EQUITY ACCOUNTS</t>
  </si>
  <si>
    <t>ACCUMULATED LOSSES</t>
  </si>
  <si>
    <t>CAC PAYBACK</t>
  </si>
  <si>
    <t>MARGIN CONTRIBUTION</t>
  </si>
  <si>
    <t>DOLLAR RETENTION</t>
  </si>
  <si>
    <t>GDR</t>
  </si>
  <si>
    <t>OPENING - CHURN MRR</t>
  </si>
  <si>
    <t>NET MRR (PRE-ADDITIONS)</t>
  </si>
  <si>
    <t>NDR</t>
  </si>
  <si>
    <t>OPERATING METRICS</t>
  </si>
  <si>
    <t>SAAS METRICS</t>
  </si>
  <si>
    <t>Illustrative Annual Planning and Fundraising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</si>
</sst>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%;\(#,##0.0%\);\-"/>
    <numFmt numFmtId="165" formatCode="#,##0.0;\(#,##0.0\);\-"/>
    <numFmt numFmtId="166" formatCode="#,##0.00;\(#,##0.00\);\-"/>
    <numFmt numFmtId="167" formatCode="#,##0;\(#,##0\);\-"/>
    <numFmt numFmtId="168" formatCode="#,##0.0\x;\(#,##0.0\x\);\-"/>
    <numFmt numFmtId="169" formatCode="#,##0.0000;\(#,##0.0000\);\-"/>
    <numFmt numFmtId="170" formatCode="#,##0.0\ &quot;years&quot;;\(#,##0.0\ &quot;years&quot;\);\-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0"/>
      <color theme="0" tint="-0.49998474074526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i/>
      <sz val="10"/>
      <color theme="0" tint="-0.499984740745262"/>
      <name val="Calibri"/>
      <family val="2"/>
      <scheme val="minor"/>
    </font>
    <font>
      <sz val="10"/>
      <color rgb="FF0000FF"/>
      <name val="Calibri"/>
      <family val="2"/>
      <scheme val="minor"/>
    </font>
    <font>
      <i/>
      <sz val="10"/>
      <color theme="0" tint="-0.249977111117893"/>
      <name val="Calibri"/>
      <family val="2"/>
      <scheme val="minor"/>
    </font>
    <font>
      <b/>
      <i/>
      <sz val="10"/>
      <color theme="0" tint="-0.249977111117893"/>
      <name val="Calibri"/>
      <family val="2"/>
      <scheme val="minor"/>
    </font>
    <font>
      <sz val="10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sz val="10"/>
      <color rgb="FF00800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008000"/>
      <name val="Calibri"/>
      <family val="2"/>
      <scheme val="minor"/>
    </font>
    <font>
      <i/>
      <sz val="10"/>
      <color rgb="FF008000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i/>
      <u/>
      <sz val="10"/>
      <color theme="0" tint="-0.499984740745262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0"/>
      <name val="Calibri"/>
      <family val="2"/>
      <scheme val="minor"/>
    </font>
    <font>
      <u/>
      <sz val="1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darkUp">
        <fgColor theme="0" tint="-0.149967955565050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/>
        <bgColor indexed="64"/>
      </patternFill>
    </fill>
  </fills>
  <borders count="1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204">
    <xf numFmtId="0" fontId="0" fillId="0" borderId="0" xfId="0"/>
    <xf numFmtId="0" fontId="0" fillId="0" borderId="0" xfId="0" applyFont="1"/>
    <xf numFmtId="0" fontId="8" fillId="0" borderId="0" xfId="0" applyFont="1"/>
    <xf numFmtId="0" fontId="6" fillId="0" borderId="0" xfId="0" applyFont="1" applyAlignment="1">
      <alignment vertical="top"/>
    </xf>
    <xf numFmtId="0" fontId="6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8" fillId="0" borderId="0" xfId="0" applyFont="1" applyAlignment="1">
      <alignment vertical="top"/>
    </xf>
    <xf numFmtId="0" fontId="10" fillId="0" borderId="0" xfId="0" applyFont="1" applyAlignment="1">
      <alignment horizontal="center" vertical="top"/>
    </xf>
    <xf numFmtId="15" fontId="11" fillId="2" borderId="1" xfId="1" applyNumberFormat="1" applyFont="1" applyAlignment="1">
      <alignment vertical="top"/>
    </xf>
    <xf numFmtId="165" fontId="8" fillId="0" borderId="1" xfId="1" applyNumberFormat="1" applyFont="1" applyFill="1" applyAlignment="1">
      <alignment vertical="top"/>
    </xf>
    <xf numFmtId="167" fontId="8" fillId="0" borderId="0" xfId="0" applyNumberFormat="1" applyFont="1" applyAlignment="1">
      <alignment vertical="top"/>
    </xf>
    <xf numFmtId="167" fontId="11" fillId="2" borderId="1" xfId="1" applyNumberFormat="1" applyFont="1" applyAlignment="1">
      <alignment vertical="top"/>
    </xf>
    <xf numFmtId="0" fontId="6" fillId="0" borderId="2" xfId="0" applyFont="1" applyBorder="1"/>
    <xf numFmtId="0" fontId="6" fillId="0" borderId="2" xfId="0" applyFont="1" applyBorder="1" applyAlignment="1">
      <alignment wrapText="1"/>
    </xf>
    <xf numFmtId="0" fontId="7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164" fontId="11" fillId="2" borderId="1" xfId="1" applyNumberFormat="1" applyFont="1" applyAlignment="1">
      <alignment vertical="top"/>
    </xf>
    <xf numFmtId="164" fontId="8" fillId="0" borderId="0" xfId="0" applyNumberFormat="1" applyFont="1" applyAlignment="1">
      <alignment vertical="top"/>
    </xf>
    <xf numFmtId="0" fontId="8" fillId="0" borderId="0" xfId="0" applyFont="1" applyAlignment="1">
      <alignment horizontal="center" wrapText="1"/>
    </xf>
    <xf numFmtId="0" fontId="8" fillId="0" borderId="2" xfId="0" applyFont="1" applyBorder="1" applyAlignment="1">
      <alignment wrapText="1"/>
    </xf>
    <xf numFmtId="0" fontId="10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right" wrapText="1"/>
    </xf>
    <xf numFmtId="0" fontId="8" fillId="0" borderId="0" xfId="0" applyFont="1" applyAlignment="1">
      <alignment wrapText="1"/>
    </xf>
    <xf numFmtId="167" fontId="11" fillId="2" borderId="1" xfId="1" applyNumberFormat="1" applyFont="1" applyAlignment="1">
      <alignment horizontal="right" vertical="top"/>
    </xf>
    <xf numFmtId="167" fontId="8" fillId="5" borderId="0" xfId="0" applyNumberFormat="1" applyFont="1" applyFill="1" applyAlignment="1">
      <alignment horizontal="right" vertical="top"/>
    </xf>
    <xf numFmtId="167" fontId="8" fillId="0" borderId="0" xfId="0" applyNumberFormat="1" applyFont="1" applyAlignment="1">
      <alignment horizontal="right" vertical="top"/>
    </xf>
    <xf numFmtId="168" fontId="8" fillId="0" borderId="0" xfId="0" applyNumberFormat="1" applyFont="1" applyAlignment="1">
      <alignment horizontal="right" vertical="top"/>
    </xf>
    <xf numFmtId="0" fontId="6" fillId="3" borderId="3" xfId="0" applyFont="1" applyFill="1" applyBorder="1" applyAlignment="1">
      <alignment vertical="top"/>
    </xf>
    <xf numFmtId="0" fontId="7" fillId="3" borderId="3" xfId="0" applyFont="1" applyFill="1" applyBorder="1" applyAlignment="1">
      <alignment horizontal="center" vertical="top"/>
    </xf>
    <xf numFmtId="0" fontId="6" fillId="3" borderId="3" xfId="0" applyFont="1" applyFill="1" applyBorder="1" applyAlignment="1">
      <alignment horizontal="right" vertical="top"/>
    </xf>
    <xf numFmtId="168" fontId="6" fillId="3" borderId="3" xfId="0" applyNumberFormat="1" applyFont="1" applyFill="1" applyBorder="1" applyAlignment="1">
      <alignment horizontal="right" vertical="top"/>
    </xf>
    <xf numFmtId="0" fontId="8" fillId="3" borderId="0" xfId="0" applyFont="1" applyFill="1" applyAlignment="1">
      <alignment horizontal="right" vertical="top"/>
    </xf>
    <xf numFmtId="164" fontId="11" fillId="2" borderId="1" xfId="1" applyNumberFormat="1" applyFont="1" applyAlignment="1">
      <alignment horizontal="right" vertical="top"/>
    </xf>
    <xf numFmtId="0" fontId="8" fillId="0" borderId="0" xfId="0" applyFont="1" applyAlignment="1">
      <alignment horizontal="left" vertical="top"/>
    </xf>
    <xf numFmtId="0" fontId="11" fillId="2" borderId="1" xfId="1" applyFont="1" applyAlignment="1">
      <alignment horizontal="right" vertical="top"/>
    </xf>
    <xf numFmtId="0" fontId="11" fillId="2" borderId="4" xfId="1" applyFont="1" applyBorder="1" applyAlignment="1">
      <alignment horizontal="right" vertical="top"/>
    </xf>
    <xf numFmtId="0" fontId="6" fillId="3" borderId="3" xfId="0" applyFont="1" applyFill="1" applyBorder="1" applyAlignment="1">
      <alignment horizontal="left" vertical="top"/>
    </xf>
    <xf numFmtId="0" fontId="6" fillId="3" borderId="3" xfId="0" applyFont="1" applyFill="1" applyBorder="1" applyAlignment="1">
      <alignment horizontal="center" vertical="top"/>
    </xf>
    <xf numFmtId="164" fontId="8" fillId="0" borderId="0" xfId="0" applyNumberFormat="1" applyFont="1" applyAlignment="1">
      <alignment horizontal="right" vertical="top"/>
    </xf>
    <xf numFmtId="0" fontId="6" fillId="0" borderId="2" xfId="0" applyFont="1" applyBorder="1" applyAlignment="1">
      <alignment horizontal="left" vertical="top"/>
    </xf>
    <xf numFmtId="0" fontId="8" fillId="0" borderId="2" xfId="0" applyFont="1" applyBorder="1" applyAlignment="1">
      <alignment horizontal="center" vertical="top"/>
    </xf>
    <xf numFmtId="0" fontId="12" fillId="0" borderId="0" xfId="0" applyFont="1" applyAlignment="1">
      <alignment horizontal="center" vertical="top"/>
    </xf>
    <xf numFmtId="0" fontId="6" fillId="0" borderId="3" xfId="0" applyFont="1" applyBorder="1" applyAlignment="1">
      <alignment vertical="top"/>
    </xf>
    <xf numFmtId="0" fontId="13" fillId="0" borderId="3" xfId="0" applyFont="1" applyBorder="1" applyAlignment="1">
      <alignment horizontal="center" vertical="top"/>
    </xf>
    <xf numFmtId="164" fontId="6" fillId="0" borderId="3" xfId="0" applyNumberFormat="1" applyFont="1" applyBorder="1" applyAlignment="1">
      <alignment vertical="top"/>
    </xf>
    <xf numFmtId="15" fontId="8" fillId="0" borderId="0" xfId="0" applyNumberFormat="1" applyFont="1" applyAlignment="1">
      <alignment vertical="top"/>
    </xf>
    <xf numFmtId="15" fontId="8" fillId="0" borderId="1" xfId="1" applyNumberFormat="1" applyFont="1" applyFill="1" applyAlignment="1">
      <alignment vertical="top"/>
    </xf>
    <xf numFmtId="0" fontId="9" fillId="4" borderId="0" xfId="0" applyFont="1" applyFill="1" applyAlignment="1">
      <alignment vertical="top"/>
    </xf>
    <xf numFmtId="0" fontId="14" fillId="4" borderId="0" xfId="0" applyFont="1" applyFill="1" applyAlignment="1">
      <alignment vertical="top"/>
    </xf>
    <xf numFmtId="0" fontId="10" fillId="4" borderId="0" xfId="0" applyFont="1" applyFill="1" applyAlignment="1">
      <alignment horizontal="center" vertical="top"/>
    </xf>
    <xf numFmtId="167" fontId="16" fillId="0" borderId="0" xfId="0" applyNumberFormat="1" applyFont="1" applyAlignment="1">
      <alignment vertical="top"/>
    </xf>
    <xf numFmtId="0" fontId="17" fillId="0" borderId="0" xfId="0" applyFont="1" applyAlignment="1">
      <alignment horizontal="center" vertical="top"/>
    </xf>
    <xf numFmtId="0" fontId="17" fillId="0" borderId="0" xfId="0" applyFont="1" applyAlignment="1">
      <alignment horizontal="left" vertical="top" indent="1"/>
    </xf>
    <xf numFmtId="0" fontId="17" fillId="0" borderId="0" xfId="0" applyFont="1" applyAlignment="1">
      <alignment vertical="top"/>
    </xf>
    <xf numFmtId="164" fontId="17" fillId="5" borderId="0" xfId="0" applyNumberFormat="1" applyFont="1" applyFill="1" applyAlignment="1">
      <alignment vertical="top"/>
    </xf>
    <xf numFmtId="164" fontId="17" fillId="0" borderId="0" xfId="0" applyNumberFormat="1" applyFont="1" applyAlignment="1">
      <alignment vertical="top"/>
    </xf>
    <xf numFmtId="0" fontId="7" fillId="0" borderId="3" xfId="0" applyFont="1" applyBorder="1" applyAlignment="1">
      <alignment horizontal="center" vertical="top"/>
    </xf>
    <xf numFmtId="167" fontId="6" fillId="0" borderId="3" xfId="0" applyNumberFormat="1" applyFont="1" applyBorder="1" applyAlignment="1">
      <alignment vertical="top"/>
    </xf>
    <xf numFmtId="164" fontId="16" fillId="0" borderId="1" xfId="1" applyNumberFormat="1" applyFont="1" applyFill="1"/>
    <xf numFmtId="167" fontId="6" fillId="0" borderId="0" xfId="0" applyNumberFormat="1" applyFont="1" applyAlignment="1">
      <alignment vertical="top"/>
    </xf>
    <xf numFmtId="167" fontId="16" fillId="0" borderId="1" xfId="1" applyNumberFormat="1" applyFont="1" applyFill="1" applyAlignment="1">
      <alignment horizontal="right"/>
    </xf>
    <xf numFmtId="0" fontId="10" fillId="0" borderId="0" xfId="0" applyFont="1" applyAlignment="1">
      <alignment horizontal="center"/>
    </xf>
    <xf numFmtId="165" fontId="16" fillId="0" borderId="0" xfId="0" applyNumberFormat="1" applyFont="1"/>
    <xf numFmtId="164" fontId="16" fillId="0" borderId="0" xfId="0" applyNumberFormat="1" applyFont="1"/>
    <xf numFmtId="168" fontId="16" fillId="0" borderId="0" xfId="0" applyNumberFormat="1" applyFont="1"/>
    <xf numFmtId="164" fontId="16" fillId="0" borderId="0" xfId="0" applyNumberFormat="1" applyFont="1" applyAlignment="1">
      <alignment vertical="top"/>
    </xf>
    <xf numFmtId="165" fontId="6" fillId="0" borderId="3" xfId="0" applyNumberFormat="1" applyFont="1" applyBorder="1" applyAlignment="1">
      <alignment vertical="top"/>
    </xf>
    <xf numFmtId="9" fontId="10" fillId="0" borderId="0" xfId="0" applyNumberFormat="1" applyFont="1" applyAlignment="1">
      <alignment horizontal="center" vertical="top"/>
    </xf>
    <xf numFmtId="168" fontId="8" fillId="0" borderId="0" xfId="0" applyNumberFormat="1" applyFont="1" applyAlignment="1">
      <alignment vertical="top"/>
    </xf>
    <xf numFmtId="0" fontId="18" fillId="6" borderId="0" xfId="0" applyFont="1" applyFill="1" applyAlignment="1">
      <alignment vertical="top"/>
    </xf>
    <xf numFmtId="0" fontId="19" fillId="6" borderId="0" xfId="0" applyFont="1" applyFill="1" applyAlignment="1">
      <alignment vertical="top"/>
    </xf>
    <xf numFmtId="0" fontId="20" fillId="6" borderId="0" xfId="0" applyFont="1" applyFill="1" applyAlignment="1">
      <alignment horizontal="center" vertical="top"/>
    </xf>
    <xf numFmtId="167" fontId="19" fillId="0" borderId="0" xfId="0" applyNumberFormat="1" applyFont="1"/>
    <xf numFmtId="165" fontId="19" fillId="0" borderId="0" xfId="0" applyNumberFormat="1" applyFont="1"/>
    <xf numFmtId="167" fontId="8" fillId="0" borderId="0" xfId="0" applyNumberFormat="1" applyFont="1"/>
    <xf numFmtId="165" fontId="19" fillId="0" borderId="1" xfId="1" applyNumberFormat="1" applyFont="1" applyFill="1" applyAlignment="1">
      <alignment horizontal="right"/>
    </xf>
    <xf numFmtId="0" fontId="6" fillId="0" borderId="0" xfId="0" applyFont="1"/>
    <xf numFmtId="167" fontId="16" fillId="0" borderId="0" xfId="0" applyNumberFormat="1" applyFont="1"/>
    <xf numFmtId="167" fontId="16" fillId="0" borderId="1" xfId="1" applyNumberFormat="1" applyFont="1" applyFill="1"/>
    <xf numFmtId="0" fontId="6" fillId="0" borderId="3" xfId="0" applyFont="1" applyBorder="1"/>
    <xf numFmtId="0" fontId="7" fillId="0" borderId="3" xfId="0" applyFont="1" applyBorder="1" applyAlignment="1">
      <alignment horizontal="center"/>
    </xf>
    <xf numFmtId="167" fontId="6" fillId="0" borderId="3" xfId="0" applyNumberFormat="1" applyFont="1" applyBorder="1"/>
    <xf numFmtId="165" fontId="8" fillId="0" borderId="0" xfId="0" applyNumberFormat="1" applyFont="1"/>
    <xf numFmtId="0" fontId="16" fillId="0" borderId="1" xfId="1" applyFont="1" applyFill="1"/>
    <xf numFmtId="0" fontId="21" fillId="0" borderId="3" xfId="0" applyFont="1" applyBorder="1"/>
    <xf numFmtId="0" fontId="16" fillId="0" borderId="0" xfId="0" applyFont="1"/>
    <xf numFmtId="166" fontId="8" fillId="0" borderId="0" xfId="0" applyNumberFormat="1" applyFont="1"/>
    <xf numFmtId="164" fontId="8" fillId="0" borderId="0" xfId="0" applyNumberFormat="1" applyFont="1"/>
    <xf numFmtId="164" fontId="6" fillId="0" borderId="3" xfId="0" applyNumberFormat="1" applyFont="1" applyBorder="1"/>
    <xf numFmtId="167" fontId="19" fillId="0" borderId="1" xfId="1" applyNumberFormat="1" applyFont="1" applyFill="1"/>
    <xf numFmtId="166" fontId="6" fillId="0" borderId="3" xfId="0" applyNumberFormat="1" applyFont="1" applyBorder="1"/>
    <xf numFmtId="169" fontId="8" fillId="0" borderId="0" xfId="0" applyNumberFormat="1" applyFont="1"/>
    <xf numFmtId="169" fontId="6" fillId="0" borderId="3" xfId="0" applyNumberFormat="1" applyFont="1" applyBorder="1"/>
    <xf numFmtId="0" fontId="18" fillId="0" borderId="0" xfId="0" applyFont="1" applyAlignment="1">
      <alignment vertical="top"/>
    </xf>
    <xf numFmtId="0" fontId="6" fillId="0" borderId="2" xfId="0" applyFont="1" applyBorder="1" applyAlignment="1">
      <alignment horizontal="centerContinuous" vertical="top"/>
    </xf>
    <xf numFmtId="15" fontId="6" fillId="0" borderId="0" xfId="0" applyNumberFormat="1" applyFont="1" applyAlignment="1">
      <alignment vertical="top"/>
    </xf>
    <xf numFmtId="15" fontId="6" fillId="0" borderId="0" xfId="0" applyNumberFormat="1" applyFont="1" applyAlignment="1">
      <alignment horizontal="right" vertical="top"/>
    </xf>
    <xf numFmtId="0" fontId="19" fillId="0" borderId="0" xfId="0" applyFont="1" applyAlignment="1">
      <alignment vertical="top"/>
    </xf>
    <xf numFmtId="15" fontId="8" fillId="0" borderId="0" xfId="0" applyNumberFormat="1" applyFont="1" applyAlignment="1">
      <alignment horizontal="right" vertical="top"/>
    </xf>
    <xf numFmtId="0" fontId="19" fillId="0" borderId="11" xfId="0" applyFont="1" applyBorder="1" applyAlignment="1">
      <alignment vertical="top"/>
    </xf>
    <xf numFmtId="0" fontId="8" fillId="0" borderId="11" xfId="0" applyFont="1" applyBorder="1" applyAlignment="1">
      <alignment vertical="top"/>
    </xf>
    <xf numFmtId="0" fontId="8" fillId="0" borderId="11" xfId="0" applyFont="1" applyBorder="1" applyAlignment="1">
      <alignment horizontal="right" vertical="top"/>
    </xf>
    <xf numFmtId="0" fontId="6" fillId="0" borderId="15" xfId="0" applyFont="1" applyBorder="1" applyAlignment="1">
      <alignment vertical="top"/>
    </xf>
    <xf numFmtId="0" fontId="18" fillId="6" borderId="5" xfId="0" applyFont="1" applyFill="1" applyBorder="1" applyAlignment="1">
      <alignment vertical="top"/>
    </xf>
    <xf numFmtId="0" fontId="14" fillId="6" borderId="3" xfId="0" applyFont="1" applyFill="1" applyBorder="1" applyAlignment="1">
      <alignment vertical="top"/>
    </xf>
    <xf numFmtId="0" fontId="15" fillId="6" borderId="3" xfId="0" applyFont="1" applyFill="1" applyBorder="1" applyAlignment="1">
      <alignment horizontal="center" vertical="top"/>
    </xf>
    <xf numFmtId="0" fontId="14" fillId="6" borderId="6" xfId="0" applyFont="1" applyFill="1" applyBorder="1" applyAlignment="1">
      <alignment vertical="top"/>
    </xf>
    <xf numFmtId="0" fontId="19" fillId="6" borderId="3" xfId="0" applyFont="1" applyFill="1" applyBorder="1" applyAlignment="1">
      <alignment vertical="top"/>
    </xf>
    <xf numFmtId="0" fontId="20" fillId="6" borderId="3" xfId="0" applyFont="1" applyFill="1" applyBorder="1" applyAlignment="1">
      <alignment horizontal="center" vertical="top"/>
    </xf>
    <xf numFmtId="0" fontId="19" fillId="6" borderId="6" xfId="0" applyFont="1" applyFill="1" applyBorder="1" applyAlignment="1">
      <alignment vertical="top"/>
    </xf>
    <xf numFmtId="0" fontId="8" fillId="0" borderId="7" xfId="0" applyFont="1" applyBorder="1" applyAlignment="1">
      <alignment vertical="top"/>
    </xf>
    <xf numFmtId="167" fontId="8" fillId="0" borderId="8" xfId="0" applyNumberFormat="1" applyFont="1" applyBorder="1" applyAlignment="1">
      <alignment vertical="top"/>
    </xf>
    <xf numFmtId="0" fontId="19" fillId="0" borderId="7" xfId="0" applyFont="1" applyBorder="1" applyAlignment="1">
      <alignment vertical="top"/>
    </xf>
    <xf numFmtId="168" fontId="16" fillId="0" borderId="8" xfId="0" applyNumberFormat="1" applyFont="1" applyBorder="1" applyAlignment="1">
      <alignment vertical="top"/>
    </xf>
    <xf numFmtId="0" fontId="6" fillId="3" borderId="5" xfId="0" applyFont="1" applyFill="1" applyBorder="1" applyAlignment="1">
      <alignment vertical="top"/>
    </xf>
    <xf numFmtId="167" fontId="6" fillId="3" borderId="6" xfId="0" applyNumberFormat="1" applyFont="1" applyFill="1" applyBorder="1" applyAlignment="1">
      <alignment vertical="top"/>
    </xf>
    <xf numFmtId="0" fontId="8" fillId="0" borderId="8" xfId="0" applyFont="1" applyBorder="1" applyAlignment="1">
      <alignment vertical="top"/>
    </xf>
    <xf numFmtId="168" fontId="8" fillId="0" borderId="8" xfId="0" applyNumberFormat="1" applyFont="1" applyBorder="1" applyAlignment="1">
      <alignment vertical="top"/>
    </xf>
    <xf numFmtId="0" fontId="18" fillId="0" borderId="7" xfId="0" applyFont="1" applyBorder="1" applyAlignment="1">
      <alignment vertical="top"/>
    </xf>
    <xf numFmtId="164" fontId="16" fillId="0" borderId="8" xfId="0" applyNumberFormat="1" applyFont="1" applyBorder="1" applyAlignment="1">
      <alignment vertical="top"/>
    </xf>
    <xf numFmtId="165" fontId="16" fillId="0" borderId="0" xfId="0" applyNumberFormat="1" applyFont="1" applyAlignment="1">
      <alignment vertical="top"/>
    </xf>
    <xf numFmtId="165" fontId="8" fillId="0" borderId="0" xfId="0" applyNumberFormat="1" applyFont="1" applyAlignment="1">
      <alignment vertical="top"/>
    </xf>
    <xf numFmtId="165" fontId="8" fillId="0" borderId="8" xfId="0" applyNumberFormat="1" applyFont="1" applyBorder="1" applyAlignment="1">
      <alignment vertical="top"/>
    </xf>
    <xf numFmtId="0" fontId="6" fillId="7" borderId="5" xfId="0" applyFont="1" applyFill="1" applyBorder="1" applyAlignment="1">
      <alignment vertical="top"/>
    </xf>
    <xf numFmtId="0" fontId="6" fillId="7" borderId="3" xfId="0" applyFont="1" applyFill="1" applyBorder="1" applyAlignment="1">
      <alignment vertical="top"/>
    </xf>
    <xf numFmtId="0" fontId="7" fillId="7" borderId="3" xfId="0" applyFont="1" applyFill="1" applyBorder="1" applyAlignment="1">
      <alignment horizontal="center" vertical="top"/>
    </xf>
    <xf numFmtId="167" fontId="6" fillId="7" borderId="6" xfId="0" applyNumberFormat="1" applyFont="1" applyFill="1" applyBorder="1" applyAlignment="1">
      <alignment vertical="top"/>
    </xf>
    <xf numFmtId="164" fontId="8" fillId="0" borderId="8" xfId="0" applyNumberFormat="1" applyFont="1" applyBorder="1" applyAlignment="1">
      <alignment vertical="top"/>
    </xf>
    <xf numFmtId="0" fontId="6" fillId="8" borderId="7" xfId="0" applyFont="1" applyFill="1" applyBorder="1" applyAlignment="1">
      <alignment vertical="top"/>
    </xf>
    <xf numFmtId="0" fontId="6" fillId="8" borderId="0" xfId="0" applyFont="1" applyFill="1" applyAlignment="1">
      <alignment vertical="top"/>
    </xf>
    <xf numFmtId="0" fontId="7" fillId="8" borderId="0" xfId="0" applyFont="1" applyFill="1" applyAlignment="1">
      <alignment horizontal="center" vertical="top"/>
    </xf>
    <xf numFmtId="167" fontId="6" fillId="8" borderId="8" xfId="0" applyNumberFormat="1" applyFont="1" applyFill="1" applyBorder="1" applyAlignment="1">
      <alignment vertical="top"/>
    </xf>
    <xf numFmtId="168" fontId="16" fillId="0" borderId="0" xfId="0" applyNumberFormat="1" applyFont="1" applyAlignment="1">
      <alignment vertical="top"/>
    </xf>
    <xf numFmtId="0" fontId="6" fillId="0" borderId="5" xfId="0" applyFont="1" applyBorder="1" applyAlignment="1">
      <alignment vertical="top"/>
    </xf>
    <xf numFmtId="170" fontId="6" fillId="0" borderId="6" xfId="0" applyNumberFormat="1" applyFont="1" applyBorder="1" applyAlignment="1">
      <alignment vertical="top"/>
    </xf>
    <xf numFmtId="0" fontId="6" fillId="0" borderId="9" xfId="0" applyFont="1" applyBorder="1" applyAlignment="1">
      <alignment vertical="top"/>
    </xf>
    <xf numFmtId="0" fontId="8" fillId="0" borderId="2" xfId="0" applyFont="1" applyBorder="1" applyAlignment="1">
      <alignment vertical="top"/>
    </xf>
    <xf numFmtId="0" fontId="6" fillId="0" borderId="2" xfId="0" applyFont="1" applyBorder="1" applyAlignment="1">
      <alignment horizontal="center" vertical="top"/>
    </xf>
    <xf numFmtId="0" fontId="6" fillId="0" borderId="10" xfId="0" applyFont="1" applyBorder="1" applyAlignment="1">
      <alignment horizontal="center" vertical="top"/>
    </xf>
    <xf numFmtId="164" fontId="16" fillId="0" borderId="0" xfId="0" applyNumberFormat="1" applyFont="1" applyAlignment="1">
      <alignment horizontal="right" vertical="top"/>
    </xf>
    <xf numFmtId="0" fontId="20" fillId="0" borderId="7" xfId="0" applyFont="1" applyBorder="1" applyAlignment="1">
      <alignment horizontal="left" vertical="top" indent="1"/>
    </xf>
    <xf numFmtId="0" fontId="8" fillId="5" borderId="0" xfId="0" applyFont="1" applyFill="1" applyAlignment="1">
      <alignment vertical="top"/>
    </xf>
    <xf numFmtId="164" fontId="22" fillId="0" borderId="0" xfId="0" applyNumberFormat="1" applyFont="1" applyAlignment="1">
      <alignment vertical="top"/>
    </xf>
    <xf numFmtId="167" fontId="22" fillId="0" borderId="0" xfId="0" applyNumberFormat="1" applyFont="1" applyAlignment="1">
      <alignment vertical="top"/>
    </xf>
    <xf numFmtId="0" fontId="8" fillId="5" borderId="8" xfId="0" applyFont="1" applyFill="1" applyBorder="1" applyAlignment="1">
      <alignment vertical="top"/>
    </xf>
    <xf numFmtId="0" fontId="18" fillId="3" borderId="5" xfId="0" applyFont="1" applyFill="1" applyBorder="1" applyAlignment="1">
      <alignment vertical="top"/>
    </xf>
    <xf numFmtId="167" fontId="21" fillId="3" borderId="3" xfId="0" applyNumberFormat="1" applyFont="1" applyFill="1" applyBorder="1" applyAlignment="1">
      <alignment vertical="top"/>
    </xf>
    <xf numFmtId="164" fontId="6" fillId="0" borderId="6" xfId="0" applyNumberFormat="1" applyFont="1" applyBorder="1" applyAlignment="1">
      <alignment vertical="top"/>
    </xf>
    <xf numFmtId="167" fontId="16" fillId="0" borderId="0" xfId="0" applyNumberFormat="1" applyFont="1" applyAlignment="1">
      <alignment horizontal="right" vertical="top"/>
    </xf>
    <xf numFmtId="167" fontId="19" fillId="0" borderId="8" xfId="0" applyNumberFormat="1" applyFont="1" applyBorder="1" applyAlignment="1">
      <alignment horizontal="right" vertical="top"/>
    </xf>
    <xf numFmtId="0" fontId="18" fillId="7" borderId="5" xfId="0" applyFont="1" applyFill="1" applyBorder="1" applyAlignment="1">
      <alignment vertical="top"/>
    </xf>
    <xf numFmtId="167" fontId="21" fillId="7" borderId="3" xfId="0" applyNumberFormat="1" applyFont="1" applyFill="1" applyBorder="1" applyAlignment="1">
      <alignment vertical="top"/>
    </xf>
    <xf numFmtId="167" fontId="19" fillId="0" borderId="0" xfId="0" applyNumberFormat="1" applyFont="1" applyAlignment="1">
      <alignment horizontal="right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0" fontId="6" fillId="5" borderId="13" xfId="0" applyFont="1" applyFill="1" applyBorder="1" applyAlignment="1">
      <alignment vertical="top"/>
    </xf>
    <xf numFmtId="167" fontId="18" fillId="0" borderId="13" xfId="0" applyNumberFormat="1" applyFont="1" applyBorder="1" applyAlignment="1">
      <alignment horizontal="right" vertical="top"/>
    </xf>
    <xf numFmtId="167" fontId="18" fillId="0" borderId="14" xfId="0" applyNumberFormat="1" applyFont="1" applyBorder="1" applyAlignment="1">
      <alignment horizontal="right" vertical="top"/>
    </xf>
    <xf numFmtId="0" fontId="19" fillId="0" borderId="9" xfId="0" applyFont="1" applyBorder="1" applyAlignment="1">
      <alignment vertical="top"/>
    </xf>
    <xf numFmtId="0" fontId="8" fillId="0" borderId="10" xfId="0" applyFont="1" applyBorder="1" applyAlignment="1">
      <alignment vertical="top"/>
    </xf>
    <xf numFmtId="0" fontId="7" fillId="4" borderId="0" xfId="0" applyFont="1" applyFill="1" applyAlignment="1">
      <alignment horizontal="center" vertical="top"/>
    </xf>
    <xf numFmtId="0" fontId="18" fillId="4" borderId="0" xfId="0" applyFont="1" applyFill="1" applyAlignment="1">
      <alignment vertical="top"/>
    </xf>
    <xf numFmtId="0" fontId="23" fillId="2" borderId="1" xfId="1" applyFont="1" applyAlignment="1">
      <alignment horizontal="center" vertical="top"/>
    </xf>
    <xf numFmtId="0" fontId="4" fillId="4" borderId="0" xfId="0" applyFont="1" applyFill="1" applyAlignment="1">
      <alignment vertical="top"/>
    </xf>
    <xf numFmtId="0" fontId="1" fillId="0" borderId="0" xfId="0" applyFont="1"/>
    <xf numFmtId="0" fontId="5" fillId="0" borderId="0" xfId="0" applyFont="1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24" fillId="2" borderId="1" xfId="1" applyFont="1" applyAlignment="1">
      <alignment horizontal="center" vertical="top"/>
    </xf>
    <xf numFmtId="0" fontId="1" fillId="0" borderId="7" xfId="0" applyFont="1" applyBorder="1" applyAlignment="1">
      <alignment vertical="top"/>
    </xf>
    <xf numFmtId="0" fontId="25" fillId="0" borderId="0" xfId="0" applyFont="1" applyAlignment="1">
      <alignment horizontal="center" vertical="top"/>
    </xf>
    <xf numFmtId="0" fontId="25" fillId="0" borderId="0" xfId="0" applyFont="1" applyAlignment="1">
      <alignment horizontal="left" vertical="top" indent="1"/>
    </xf>
    <xf numFmtId="0" fontId="5" fillId="0" borderId="3" xfId="0" applyFont="1" applyBorder="1" applyAlignment="1">
      <alignment vertical="top"/>
    </xf>
    <xf numFmtId="0" fontId="27" fillId="0" borderId="0" xfId="0" applyFont="1" applyAlignment="1">
      <alignment horizontal="center" vertical="top"/>
    </xf>
    <xf numFmtId="0" fontId="26" fillId="0" borderId="0" xfId="0" applyFont="1" applyAlignment="1">
      <alignment vertical="top"/>
    </xf>
    <xf numFmtId="0" fontId="19" fillId="0" borderId="0" xfId="0" applyFont="1" applyFill="1" applyAlignment="1">
      <alignment horizontal="center" vertical="top"/>
    </xf>
    <xf numFmtId="0" fontId="19" fillId="0" borderId="0" xfId="0" applyFont="1" applyFill="1" applyAlignment="1">
      <alignment vertical="top"/>
    </xf>
    <xf numFmtId="0" fontId="20" fillId="0" borderId="0" xfId="0" applyFont="1" applyFill="1" applyAlignment="1">
      <alignment horizontal="center" vertical="top"/>
    </xf>
    <xf numFmtId="0" fontId="28" fillId="0" borderId="0" xfId="0" applyFont="1" applyFill="1" applyAlignment="1">
      <alignment vertical="top"/>
    </xf>
    <xf numFmtId="0" fontId="18" fillId="0" borderId="0" xfId="0" applyFont="1" applyFill="1" applyAlignment="1">
      <alignment horizontal="center" vertical="top"/>
    </xf>
    <xf numFmtId="0" fontId="18" fillId="0" borderId="0" xfId="0" applyFont="1" applyFill="1" applyAlignment="1">
      <alignment vertical="top"/>
    </xf>
    <xf numFmtId="0" fontId="29" fillId="0" borderId="0" xfId="0" applyFont="1" applyFill="1" applyAlignment="1">
      <alignment horizontal="center" vertical="top"/>
    </xf>
    <xf numFmtId="15" fontId="18" fillId="0" borderId="0" xfId="0" applyNumberFormat="1" applyFont="1" applyFill="1"/>
    <xf numFmtId="15" fontId="19" fillId="0" borderId="0" xfId="0" applyNumberFormat="1" applyFont="1" applyFill="1"/>
    <xf numFmtId="0" fontId="19" fillId="0" borderId="0" xfId="0" applyFont="1" applyFill="1"/>
    <xf numFmtId="0" fontId="30" fillId="0" borderId="0" xfId="0" applyFont="1" applyFill="1" applyAlignment="1">
      <alignment horizontal="center" vertical="top"/>
    </xf>
    <xf numFmtId="0" fontId="30" fillId="0" borderId="0" xfId="0" applyFont="1" applyFill="1" applyAlignment="1">
      <alignment vertical="top"/>
    </xf>
    <xf numFmtId="0" fontId="31" fillId="0" borderId="0" xfId="0" applyFont="1" applyFill="1" applyAlignment="1">
      <alignment horizontal="center" vertical="top"/>
    </xf>
    <xf numFmtId="0" fontId="31" fillId="0" borderId="11" xfId="0" applyFont="1" applyFill="1" applyBorder="1" applyAlignment="1">
      <alignment vertical="top"/>
    </xf>
    <xf numFmtId="0" fontId="19" fillId="0" borderId="11" xfId="0" applyFont="1" applyFill="1" applyBorder="1" applyAlignment="1">
      <alignment vertical="top"/>
    </xf>
    <xf numFmtId="0" fontId="20" fillId="0" borderId="11" xfId="0" applyFont="1" applyFill="1" applyBorder="1" applyAlignment="1">
      <alignment horizontal="center" vertical="top"/>
    </xf>
    <xf numFmtId="0" fontId="8" fillId="0" borderId="11" xfId="0" applyFont="1" applyBorder="1"/>
    <xf numFmtId="0" fontId="10" fillId="0" borderId="11" xfId="0" applyFont="1" applyBorder="1" applyAlignment="1">
      <alignment horizontal="center"/>
    </xf>
    <xf numFmtId="0" fontId="32" fillId="0" borderId="0" xfId="0" applyFont="1" applyFill="1" applyAlignment="1">
      <alignment vertical="top"/>
    </xf>
    <xf numFmtId="0" fontId="10" fillId="0" borderId="11" xfId="0" applyFont="1" applyBorder="1" applyAlignment="1">
      <alignment horizontal="center" vertical="top"/>
    </xf>
    <xf numFmtId="0" fontId="18" fillId="0" borderId="11" xfId="0" applyFont="1" applyFill="1" applyBorder="1" applyAlignment="1">
      <alignment vertical="top"/>
    </xf>
    <xf numFmtId="0" fontId="29" fillId="0" borderId="11" xfId="0" applyFont="1" applyFill="1" applyBorder="1" applyAlignment="1">
      <alignment horizontal="center" vertical="top"/>
    </xf>
    <xf numFmtId="0" fontId="4" fillId="9" borderId="0" xfId="0" applyFont="1" applyFill="1" applyAlignment="1">
      <alignment vertical="top"/>
    </xf>
    <xf numFmtId="0" fontId="9" fillId="9" borderId="0" xfId="0" applyFont="1" applyFill="1" applyAlignment="1">
      <alignment vertical="top"/>
    </xf>
    <xf numFmtId="0" fontId="7" fillId="9" borderId="0" xfId="0" applyFont="1" applyFill="1" applyAlignment="1">
      <alignment horizontal="center" vertical="top"/>
    </xf>
    <xf numFmtId="0" fontId="18" fillId="9" borderId="0" xfId="0" applyFont="1" applyFill="1" applyAlignment="1">
      <alignment vertical="top"/>
    </xf>
    <xf numFmtId="0" fontId="14" fillId="9" borderId="0" xfId="0" applyFont="1" applyFill="1" applyAlignment="1">
      <alignment vertical="top"/>
    </xf>
    <xf numFmtId="0" fontId="10" fillId="9" borderId="0" xfId="0" applyFont="1" applyFill="1" applyAlignment="1">
      <alignment horizontal="center" vertical="top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colors>
    <mruColors>
      <color rgb="FF0080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59EB3-B8E7-4439-8A94-04DD9C88F1C0}">
  <sheetPr>
    <tabColor theme="1"/>
  </sheetPr>
  <dimension ref="A1:L84"/>
  <sheetViews>
    <sheetView showGridLines="0" tabSelected="1" zoomScale="85" zoomScaleNormal="85" workbookViewId="0"/>
  </sheetViews>
  <sheetFormatPr defaultColWidth="0" defaultRowHeight="14.4" customHeight="1" zeroHeight="1" x14ac:dyDescent="0.55000000000000004"/>
  <cols>
    <col min="1" max="1" width="2.578125" style="1" customWidth="1"/>
    <col min="2" max="11" width="8.83984375" style="1" customWidth="1"/>
    <col min="12" max="12" width="2.578125" style="1" customWidth="1"/>
    <col min="13" max="16384" width="8.83984375" style="1" hidden="1"/>
  </cols>
  <sheetData>
    <row r="1" spans="1:12" x14ac:dyDescent="0.55000000000000004"/>
    <row r="2" spans="1:12" x14ac:dyDescent="0.55000000000000004"/>
    <row r="3" spans="1:12" x14ac:dyDescent="0.55000000000000004"/>
    <row r="4" spans="1:12" ht="14.7" thickBot="1" x14ac:dyDescent="0.6">
      <c r="A4" s="6"/>
      <c r="B4" s="101"/>
      <c r="C4" s="101"/>
      <c r="D4" s="101"/>
      <c r="E4" s="101"/>
      <c r="F4" s="195"/>
      <c r="G4" s="101"/>
      <c r="H4" s="101"/>
      <c r="I4" s="101"/>
      <c r="J4" s="101"/>
      <c r="K4" s="101"/>
      <c r="L4"/>
    </row>
    <row r="5" spans="1:12" ht="3" customHeight="1" x14ac:dyDescent="0.55000000000000004">
      <c r="A5" s="180"/>
      <c r="B5" s="181"/>
      <c r="C5" s="181"/>
      <c r="D5" s="181"/>
      <c r="E5" s="181"/>
      <c r="F5" s="182"/>
      <c r="G5" s="181"/>
      <c r="H5" s="181"/>
      <c r="I5" s="181"/>
      <c r="J5" s="181"/>
      <c r="K5" s="181"/>
      <c r="L5"/>
    </row>
    <row r="6" spans="1:12" ht="15.6" x14ac:dyDescent="0.55000000000000004">
      <c r="A6" s="180"/>
      <c r="B6" s="194" t="s">
        <v>160</v>
      </c>
      <c r="C6" s="181"/>
      <c r="D6" s="181"/>
      <c r="E6" s="181"/>
      <c r="F6" s="181"/>
      <c r="G6" s="181"/>
      <c r="H6" s="181"/>
      <c r="I6" s="181"/>
      <c r="J6" s="181"/>
      <c r="K6" s="181"/>
      <c r="L6"/>
    </row>
    <row r="7" spans="1:12" x14ac:dyDescent="0.55000000000000004">
      <c r="A7" s="180"/>
      <c r="B7" s="179" t="s">
        <v>227</v>
      </c>
      <c r="C7" s="181"/>
      <c r="D7" s="181"/>
      <c r="E7" s="181"/>
      <c r="F7" s="181"/>
      <c r="G7" s="181"/>
      <c r="H7" s="181"/>
      <c r="I7" s="181"/>
      <c r="J7" s="181"/>
      <c r="K7" s="181"/>
      <c r="L7"/>
    </row>
    <row r="8" spans="1:12" ht="3" customHeight="1" x14ac:dyDescent="0.55000000000000004">
      <c r="A8" s="180"/>
      <c r="B8" s="181"/>
      <c r="C8" s="181"/>
      <c r="D8" s="181"/>
      <c r="E8" s="181"/>
      <c r="F8" s="182"/>
      <c r="G8" s="181"/>
      <c r="H8" s="181"/>
      <c r="I8" s="181"/>
      <c r="J8" s="181"/>
      <c r="K8" s="181"/>
      <c r="L8"/>
    </row>
    <row r="9" spans="1:12" x14ac:dyDescent="0.55000000000000004">
      <c r="A9" s="180"/>
      <c r="B9" s="181"/>
      <c r="C9" s="181"/>
      <c r="D9" s="181"/>
      <c r="E9" s="181"/>
      <c r="F9" s="186"/>
      <c r="G9" s="187"/>
      <c r="H9" s="186"/>
      <c r="I9" s="186"/>
      <c r="J9" s="186"/>
      <c r="K9" s="186"/>
      <c r="L9"/>
    </row>
    <row r="10" spans="1:12" ht="3" customHeight="1" thickBot="1" x14ac:dyDescent="0.6">
      <c r="A10" s="180"/>
      <c r="B10" s="196"/>
      <c r="C10" s="196"/>
      <c r="D10" s="196"/>
      <c r="E10" s="196"/>
      <c r="F10" s="197"/>
      <c r="G10" s="196"/>
      <c r="H10" s="196"/>
      <c r="I10" s="196"/>
      <c r="J10" s="196"/>
      <c r="K10" s="196"/>
      <c r="L10"/>
    </row>
    <row r="11" spans="1:12" x14ac:dyDescent="0.55000000000000004">
      <c r="A11" s="4"/>
      <c r="B11" s="3"/>
      <c r="C11" s="3"/>
      <c r="D11" s="3"/>
      <c r="E11" s="3"/>
      <c r="F11" s="5"/>
      <c r="G11" s="3"/>
      <c r="H11" s="3"/>
      <c r="I11" s="3"/>
      <c r="J11" s="3"/>
      <c r="K11" s="3"/>
      <c r="L11"/>
    </row>
    <row r="12" spans="1:12" x14ac:dyDescent="0.55000000000000004">
      <c r="A12" s="4"/>
      <c r="B12" s="3"/>
      <c r="C12" s="3"/>
      <c r="D12" s="3"/>
      <c r="E12" s="3"/>
      <c r="F12" s="174"/>
      <c r="G12" s="175"/>
      <c r="H12" s="175"/>
      <c r="I12" s="175"/>
      <c r="J12" s="175"/>
      <c r="K12" s="175"/>
      <c r="L12"/>
    </row>
    <row r="13" spans="1:12" x14ac:dyDescent="0.55000000000000004"/>
    <row r="14" spans="1:12" hidden="1" x14ac:dyDescent="0.55000000000000004"/>
    <row r="15" spans="1:12" hidden="1" x14ac:dyDescent="0.55000000000000004">
      <c r="A15" s="165"/>
      <c r="B15" s="165"/>
    </row>
    <row r="16" spans="1:12" hidden="1" x14ac:dyDescent="0.55000000000000004"/>
    <row r="17" hidden="1" x14ac:dyDescent="0.55000000000000004"/>
    <row r="18" hidden="1" x14ac:dyDescent="0.55000000000000004"/>
    <row r="19" hidden="1" x14ac:dyDescent="0.55000000000000004"/>
    <row r="20" hidden="1" x14ac:dyDescent="0.55000000000000004"/>
    <row r="21" hidden="1" x14ac:dyDescent="0.55000000000000004"/>
    <row r="22" hidden="1" x14ac:dyDescent="0.55000000000000004"/>
    <row r="23" hidden="1" x14ac:dyDescent="0.55000000000000004"/>
    <row r="24" hidden="1" x14ac:dyDescent="0.55000000000000004"/>
    <row r="25" hidden="1" x14ac:dyDescent="0.55000000000000004"/>
    <row r="26" hidden="1" x14ac:dyDescent="0.55000000000000004"/>
    <row r="27" hidden="1" x14ac:dyDescent="0.55000000000000004"/>
    <row r="28" hidden="1" x14ac:dyDescent="0.55000000000000004"/>
    <row r="29" hidden="1" x14ac:dyDescent="0.55000000000000004"/>
    <row r="30" hidden="1" x14ac:dyDescent="0.55000000000000004"/>
    <row r="31" hidden="1" x14ac:dyDescent="0.55000000000000004"/>
    <row r="32" x14ac:dyDescent="0.55000000000000004"/>
    <row r="33" spans="1:2" hidden="1" x14ac:dyDescent="0.55000000000000004"/>
    <row r="34" spans="1:2" hidden="1" x14ac:dyDescent="0.55000000000000004"/>
    <row r="35" spans="1:2" hidden="1" x14ac:dyDescent="0.55000000000000004"/>
    <row r="36" spans="1:2" hidden="1" x14ac:dyDescent="0.55000000000000004"/>
    <row r="37" spans="1:2" hidden="1" x14ac:dyDescent="0.55000000000000004"/>
    <row r="43" spans="1:2" hidden="1" x14ac:dyDescent="0.55000000000000004">
      <c r="A43" s="165"/>
      <c r="B43" s="165"/>
    </row>
    <row r="51" spans="1:2" hidden="1" x14ac:dyDescent="0.55000000000000004">
      <c r="A51" s="165"/>
      <c r="B51" s="165" t="s">
        <v>180</v>
      </c>
    </row>
    <row r="70" spans="1:2" hidden="1" x14ac:dyDescent="0.55000000000000004">
      <c r="A70" s="165"/>
      <c r="B70" s="165"/>
    </row>
    <row r="84" spans="1:2" hidden="1" x14ac:dyDescent="0.55000000000000004">
      <c r="A84" s="165"/>
      <c r="B84" s="16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5FE6A-3662-473F-9A87-5C6BE55D8EBA}">
  <sheetPr>
    <tabColor theme="8" tint="0.59999389629810485"/>
  </sheetPr>
  <dimension ref="A1:BD88"/>
  <sheetViews>
    <sheetView showGridLines="0" zoomScale="85" zoomScaleNormal="85" workbookViewId="0">
      <pane xSplit="11" ySplit="8" topLeftCell="L9" activePane="bottomRight" state="frozen"/>
      <selection activeCell="F8" sqref="F8:K8"/>
      <selection pane="topRight" activeCell="F8" sqref="F8:K8"/>
      <selection pane="bottomLeft" activeCell="F8" sqref="F8:K8"/>
      <selection pane="bottomRight"/>
    </sheetView>
  </sheetViews>
  <sheetFormatPr defaultColWidth="9.3125" defaultRowHeight="12.9" x14ac:dyDescent="0.55000000000000004"/>
  <cols>
    <col min="1" max="1" width="2.578125" style="6" customWidth="1"/>
    <col min="2" max="5" width="9.3125" style="7"/>
    <col min="6" max="6" width="9.3125" style="8"/>
    <col min="7" max="16384" width="9.3125" style="7"/>
  </cols>
  <sheetData>
    <row r="1" spans="1:23" ht="6" customHeight="1" thickBot="1" x14ac:dyDescent="0.6">
      <c r="B1" s="101"/>
      <c r="C1" s="101"/>
      <c r="D1" s="101"/>
      <c r="E1" s="101"/>
      <c r="F1" s="195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</row>
    <row r="2" spans="1:23" s="181" customFormat="1" ht="3" customHeight="1" x14ac:dyDescent="0.55000000000000004">
      <c r="A2" s="180"/>
      <c r="F2" s="182"/>
    </row>
    <row r="3" spans="1:23" s="181" customFormat="1" ht="15.6" x14ac:dyDescent="0.55000000000000004">
      <c r="A3" s="180"/>
      <c r="B3" s="194" t="s">
        <v>160</v>
      </c>
    </row>
    <row r="4" spans="1:23" s="181" customFormat="1" ht="14.4" x14ac:dyDescent="0.55000000000000004">
      <c r="A4" s="180"/>
      <c r="B4" s="179" t="s">
        <v>1</v>
      </c>
    </row>
    <row r="5" spans="1:23" s="181" customFormat="1" ht="3" customHeight="1" x14ac:dyDescent="0.55000000000000004">
      <c r="A5" s="180"/>
      <c r="F5" s="182"/>
    </row>
    <row r="6" spans="1:23" s="181" customFormat="1" x14ac:dyDescent="0.55000000000000004">
      <c r="A6" s="180"/>
      <c r="F6" s="186" t="s">
        <v>3</v>
      </c>
      <c r="G6" s="187"/>
      <c r="H6" s="186" t="s">
        <v>4</v>
      </c>
      <c r="I6" s="186" t="s">
        <v>10</v>
      </c>
      <c r="J6" s="186" t="s">
        <v>11</v>
      </c>
      <c r="K6" s="186" t="s">
        <v>183</v>
      </c>
      <c r="L6" s="180"/>
      <c r="M6" s="180"/>
      <c r="N6" s="180"/>
      <c r="O6" s="180"/>
      <c r="P6" s="180"/>
      <c r="Q6" s="180"/>
      <c r="R6" s="180"/>
      <c r="S6" s="180"/>
      <c r="T6" s="180"/>
      <c r="U6" s="180"/>
      <c r="V6" s="180"/>
      <c r="W6" s="180"/>
    </row>
    <row r="7" spans="1:23" s="181" customFormat="1" ht="3" customHeight="1" thickBot="1" x14ac:dyDescent="0.6">
      <c r="A7" s="180"/>
      <c r="B7" s="196"/>
      <c r="C7" s="196"/>
      <c r="D7" s="196"/>
      <c r="E7" s="196"/>
      <c r="F7" s="197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6"/>
      <c r="U7" s="196"/>
      <c r="V7" s="196"/>
      <c r="W7" s="196"/>
    </row>
    <row r="8" spans="1:23" s="3" customFormat="1" ht="3" customHeight="1" x14ac:dyDescent="0.55000000000000004">
      <c r="A8" s="4"/>
      <c r="F8" s="5"/>
    </row>
    <row r="9" spans="1:23" s="3" customFormat="1" ht="3" customHeight="1" x14ac:dyDescent="0.55000000000000004">
      <c r="A9" s="4"/>
      <c r="F9" s="174"/>
      <c r="G9" s="175"/>
      <c r="H9" s="175"/>
      <c r="I9" s="175"/>
      <c r="J9" s="175"/>
      <c r="K9" s="175"/>
    </row>
    <row r="10" spans="1:23" s="3" customFormat="1" ht="14.4" x14ac:dyDescent="0.55000000000000004">
      <c r="A10" s="169" t="s">
        <v>0</v>
      </c>
      <c r="B10" s="198" t="s">
        <v>166</v>
      </c>
      <c r="C10" s="199"/>
      <c r="D10" s="199"/>
      <c r="E10" s="199"/>
      <c r="F10" s="200"/>
      <c r="G10" s="199"/>
      <c r="H10" s="199"/>
      <c r="I10" s="199"/>
      <c r="J10" s="199"/>
      <c r="K10" s="199"/>
      <c r="L10" s="199"/>
      <c r="M10" s="199"/>
      <c r="N10" s="199"/>
      <c r="O10" s="199"/>
      <c r="P10" s="199"/>
      <c r="Q10" s="199"/>
      <c r="R10" s="199"/>
      <c r="S10" s="199"/>
      <c r="T10" s="199"/>
      <c r="U10" s="199"/>
      <c r="V10" s="199"/>
      <c r="W10" s="199"/>
    </row>
    <row r="11" spans="1:23" s="3" customFormat="1" x14ac:dyDescent="0.55000000000000004">
      <c r="A11" s="4"/>
      <c r="F11" s="5"/>
    </row>
    <row r="12" spans="1:23" x14ac:dyDescent="0.55000000000000004">
      <c r="B12" s="7" t="s">
        <v>2</v>
      </c>
      <c r="F12" s="8" t="s">
        <v>12</v>
      </c>
      <c r="H12" s="9">
        <v>46023</v>
      </c>
      <c r="L12" s="10">
        <f t="shared" ref="L12:W12" si="0">($H12=L$78)*1</f>
        <v>1</v>
      </c>
      <c r="M12" s="10">
        <f t="shared" si="0"/>
        <v>0</v>
      </c>
      <c r="N12" s="10">
        <f t="shared" si="0"/>
        <v>0</v>
      </c>
      <c r="O12" s="10">
        <f t="shared" si="0"/>
        <v>0</v>
      </c>
      <c r="P12" s="10">
        <f t="shared" si="0"/>
        <v>0</v>
      </c>
      <c r="Q12" s="10">
        <f t="shared" si="0"/>
        <v>0</v>
      </c>
      <c r="R12" s="10">
        <f t="shared" si="0"/>
        <v>0</v>
      </c>
      <c r="S12" s="10">
        <f t="shared" si="0"/>
        <v>0</v>
      </c>
      <c r="T12" s="10">
        <f t="shared" si="0"/>
        <v>0</v>
      </c>
      <c r="U12" s="10">
        <f t="shared" si="0"/>
        <v>0</v>
      </c>
      <c r="V12" s="10">
        <f t="shared" si="0"/>
        <v>0</v>
      </c>
      <c r="W12" s="10">
        <f t="shared" si="0"/>
        <v>0</v>
      </c>
    </row>
    <row r="13" spans="1:23" s="3" customFormat="1" x14ac:dyDescent="0.55000000000000004">
      <c r="A13" s="4"/>
      <c r="F13" s="5"/>
    </row>
    <row r="14" spans="1:23" s="3" customFormat="1" ht="14.4" x14ac:dyDescent="0.55000000000000004">
      <c r="A14" s="169" t="s">
        <v>0</v>
      </c>
      <c r="B14" s="198" t="s">
        <v>167</v>
      </c>
      <c r="C14" s="199"/>
      <c r="D14" s="199"/>
      <c r="E14" s="199"/>
      <c r="F14" s="200"/>
      <c r="G14" s="199"/>
      <c r="H14" s="199"/>
      <c r="I14" s="199"/>
      <c r="J14" s="199"/>
      <c r="K14" s="199"/>
      <c r="L14" s="199"/>
      <c r="M14" s="199"/>
      <c r="N14" s="199"/>
      <c r="O14" s="199"/>
      <c r="P14" s="199"/>
      <c r="Q14" s="199"/>
      <c r="R14" s="199"/>
      <c r="S14" s="199"/>
      <c r="T14" s="199"/>
      <c r="U14" s="199"/>
      <c r="V14" s="199"/>
      <c r="W14" s="199"/>
    </row>
    <row r="15" spans="1:23" s="3" customFormat="1" x14ac:dyDescent="0.55000000000000004">
      <c r="A15" s="4"/>
      <c r="F15" s="5"/>
    </row>
    <row r="16" spans="1:23" s="3" customFormat="1" x14ac:dyDescent="0.55000000000000004">
      <c r="A16" s="4"/>
      <c r="B16" s="3" t="s">
        <v>38</v>
      </c>
      <c r="F16" s="5"/>
    </row>
    <row r="17" spans="1:56" x14ac:dyDescent="0.55000000000000004">
      <c r="B17" s="7" t="s">
        <v>39</v>
      </c>
      <c r="F17" s="8" t="s">
        <v>31</v>
      </c>
      <c r="H17" s="12">
        <v>30000</v>
      </c>
    </row>
    <row r="18" spans="1:56" s="3" customFormat="1" x14ac:dyDescent="0.55000000000000004">
      <c r="A18" s="4"/>
      <c r="F18" s="5"/>
    </row>
    <row r="19" spans="1:56" s="3" customFormat="1" ht="14.4" x14ac:dyDescent="0.55000000000000004">
      <c r="A19" s="169" t="s">
        <v>0</v>
      </c>
      <c r="B19" s="198" t="s">
        <v>168</v>
      </c>
      <c r="C19" s="199"/>
      <c r="D19" s="199"/>
      <c r="E19" s="199"/>
      <c r="F19" s="200"/>
      <c r="G19" s="199"/>
      <c r="H19" s="199"/>
      <c r="I19" s="199"/>
      <c r="J19" s="199"/>
      <c r="K19" s="199"/>
      <c r="L19" s="199"/>
      <c r="M19" s="199"/>
      <c r="N19" s="199"/>
      <c r="O19" s="199"/>
      <c r="P19" s="199"/>
      <c r="Q19" s="199"/>
      <c r="R19" s="199"/>
      <c r="S19" s="199"/>
      <c r="T19" s="199"/>
      <c r="U19" s="199"/>
      <c r="V19" s="199"/>
      <c r="W19" s="199"/>
    </row>
    <row r="20" spans="1:56" s="3" customFormat="1" x14ac:dyDescent="0.55000000000000004">
      <c r="A20" s="4"/>
      <c r="F20" s="5"/>
    </row>
    <row r="21" spans="1:56" s="3" customFormat="1" ht="25.8" x14ac:dyDescent="0.5">
      <c r="A21" s="4"/>
      <c r="B21" s="13" t="s">
        <v>170</v>
      </c>
      <c r="C21" s="14"/>
      <c r="D21" s="14"/>
      <c r="E21" s="14"/>
      <c r="F21" s="15"/>
      <c r="G21" s="14"/>
      <c r="H21" s="16" t="s">
        <v>21</v>
      </c>
      <c r="I21" s="16" t="s">
        <v>22</v>
      </c>
      <c r="J21" s="16" t="s">
        <v>23</v>
      </c>
      <c r="K21" s="16" t="s">
        <v>146</v>
      </c>
    </row>
    <row r="22" spans="1:56" s="3" customFormat="1" x14ac:dyDescent="0.55000000000000004">
      <c r="A22" s="4"/>
      <c r="B22" s="7" t="s">
        <v>24</v>
      </c>
      <c r="C22" s="7"/>
      <c r="D22" s="7"/>
      <c r="E22" s="7"/>
      <c r="F22" s="8" t="s">
        <v>15</v>
      </c>
      <c r="G22" s="7"/>
      <c r="H22" s="12">
        <v>500</v>
      </c>
      <c r="I22" s="12">
        <v>80</v>
      </c>
      <c r="J22" s="12">
        <v>20</v>
      </c>
      <c r="K22" s="11">
        <f>SUM(H22:J22)</f>
        <v>600</v>
      </c>
      <c r="Z22" s="7"/>
      <c r="AA22" s="7"/>
      <c r="AB22" s="7"/>
      <c r="AL22" s="7"/>
      <c r="BB22" s="7"/>
      <c r="BC22" s="7"/>
      <c r="BD22" s="7"/>
    </row>
    <row r="23" spans="1:56" x14ac:dyDescent="0.55000000000000004">
      <c r="B23" s="7" t="s">
        <v>25</v>
      </c>
      <c r="F23" s="8" t="s">
        <v>15</v>
      </c>
      <c r="H23" s="12">
        <v>50</v>
      </c>
      <c r="I23" s="12">
        <v>25</v>
      </c>
      <c r="J23" s="12">
        <v>10</v>
      </c>
      <c r="K23" s="11">
        <f t="shared" ref="K23" si="1">SUM(H23:J23)</f>
        <v>85</v>
      </c>
    </row>
    <row r="24" spans="1:56" x14ac:dyDescent="0.55000000000000004">
      <c r="B24" s="7" t="s">
        <v>26</v>
      </c>
      <c r="F24" s="8" t="s">
        <v>15</v>
      </c>
      <c r="H24" s="12">
        <v>10</v>
      </c>
      <c r="I24" s="12">
        <v>30</v>
      </c>
      <c r="J24" s="12">
        <v>100</v>
      </c>
      <c r="K24" s="11">
        <f>SUMPRODUCT(H24:J24,H$22:J$22)/K$22</f>
        <v>15.666666666666666</v>
      </c>
    </row>
    <row r="25" spans="1:56" x14ac:dyDescent="0.55000000000000004">
      <c r="B25" s="7" t="s">
        <v>27</v>
      </c>
      <c r="F25" s="8" t="s">
        <v>30</v>
      </c>
      <c r="H25" s="12">
        <v>200</v>
      </c>
      <c r="I25" s="12">
        <v>400</v>
      </c>
      <c r="J25" s="12">
        <v>800</v>
      </c>
      <c r="K25" s="11">
        <f t="shared" ref="K25" si="2">SUMPRODUCT(H25:J25,H$22:J$22)/K$22</f>
        <v>246.66666666666666</v>
      </c>
    </row>
    <row r="26" spans="1:56" x14ac:dyDescent="0.55000000000000004">
      <c r="B26" s="7" t="s">
        <v>28</v>
      </c>
      <c r="F26" s="8" t="s">
        <v>30</v>
      </c>
      <c r="H26" s="12">
        <v>25</v>
      </c>
      <c r="I26" s="12">
        <v>30</v>
      </c>
      <c r="J26" s="12">
        <v>35</v>
      </c>
      <c r="K26" s="11">
        <f>SUMPRODUCT(H26:J26,H$22:J$22)/K$22</f>
        <v>26</v>
      </c>
    </row>
    <row r="27" spans="1:56" x14ac:dyDescent="0.55000000000000004">
      <c r="B27" s="7" t="s">
        <v>29</v>
      </c>
      <c r="F27" s="8" t="s">
        <v>16</v>
      </c>
      <c r="H27" s="17">
        <v>0.05</v>
      </c>
      <c r="I27" s="17">
        <v>0.02</v>
      </c>
      <c r="J27" s="17">
        <v>0.01</v>
      </c>
      <c r="K27" s="18">
        <f>SUMPRODUCT(H27:J27,H$22:J$22)/K$22</f>
        <v>4.4666666666666667E-2</v>
      </c>
    </row>
    <row r="28" spans="1:56" x14ac:dyDescent="0.55000000000000004">
      <c r="B28" s="7" t="s">
        <v>44</v>
      </c>
      <c r="F28" s="8" t="s">
        <v>16</v>
      </c>
      <c r="H28" s="17">
        <v>0.01</v>
      </c>
      <c r="I28" s="17">
        <v>0.04</v>
      </c>
      <c r="J28" s="17">
        <v>7.0000000000000007E-2</v>
      </c>
      <c r="K28" s="18">
        <f>SUMPRODUCT(H28:J28,H$22:J$22)/K$22</f>
        <v>1.6E-2</v>
      </c>
    </row>
    <row r="29" spans="1:56" s="3" customFormat="1" x14ac:dyDescent="0.55000000000000004">
      <c r="A29" s="4"/>
      <c r="F29" s="5"/>
    </row>
    <row r="30" spans="1:56" s="3" customFormat="1" x14ac:dyDescent="0.55000000000000004">
      <c r="A30" s="4"/>
      <c r="B30" s="3" t="s">
        <v>171</v>
      </c>
      <c r="F30" s="5"/>
    </row>
    <row r="31" spans="1:56" x14ac:dyDescent="0.55000000000000004">
      <c r="B31" s="7" t="s">
        <v>32</v>
      </c>
      <c r="F31" s="8" t="s">
        <v>155</v>
      </c>
      <c r="H31" s="17">
        <v>0.18</v>
      </c>
    </row>
    <row r="32" spans="1:56" x14ac:dyDescent="0.55000000000000004">
      <c r="B32" s="7" t="s">
        <v>33</v>
      </c>
      <c r="F32" s="8" t="s">
        <v>155</v>
      </c>
      <c r="H32" s="17">
        <v>0.9</v>
      </c>
    </row>
    <row r="33" spans="1:23" x14ac:dyDescent="0.55000000000000004">
      <c r="B33" s="7" t="s">
        <v>34</v>
      </c>
      <c r="F33" s="8" t="s">
        <v>155</v>
      </c>
      <c r="H33" s="17">
        <v>0.4</v>
      </c>
    </row>
    <row r="34" spans="1:23" x14ac:dyDescent="0.55000000000000004">
      <c r="B34" s="7" t="s">
        <v>35</v>
      </c>
      <c r="F34" s="8" t="s">
        <v>155</v>
      </c>
      <c r="H34" s="17">
        <v>0.1</v>
      </c>
    </row>
    <row r="35" spans="1:23" x14ac:dyDescent="0.55000000000000004">
      <c r="B35" s="7" t="s">
        <v>18</v>
      </c>
      <c r="F35" s="8" t="s">
        <v>69</v>
      </c>
      <c r="H35" s="17">
        <v>0.25</v>
      </c>
    </row>
    <row r="37" spans="1:23" x14ac:dyDescent="0.55000000000000004">
      <c r="B37" s="3" t="s">
        <v>172</v>
      </c>
    </row>
    <row r="38" spans="1:23" x14ac:dyDescent="0.55000000000000004">
      <c r="B38" s="7" t="s">
        <v>50</v>
      </c>
      <c r="F38" s="8" t="s">
        <v>31</v>
      </c>
      <c r="H38" s="12">
        <v>50</v>
      </c>
      <c r="J38" s="11"/>
    </row>
    <row r="39" spans="1:23" x14ac:dyDescent="0.55000000000000004">
      <c r="B39" s="7" t="s">
        <v>36</v>
      </c>
      <c r="F39" s="8" t="s">
        <v>51</v>
      </c>
      <c r="H39" s="17">
        <v>0.02</v>
      </c>
    </row>
    <row r="40" spans="1:23" x14ac:dyDescent="0.55000000000000004">
      <c r="B40" s="7" t="s">
        <v>37</v>
      </c>
      <c r="F40" s="8" t="s">
        <v>153</v>
      </c>
      <c r="H40" s="17">
        <f>1/36</f>
        <v>2.7777777777777776E-2</v>
      </c>
    </row>
    <row r="41" spans="1:23" x14ac:dyDescent="0.55000000000000004">
      <c r="B41" s="7" t="s">
        <v>73</v>
      </c>
      <c r="F41" s="8" t="s">
        <v>75</v>
      </c>
      <c r="H41" s="12">
        <v>45</v>
      </c>
    </row>
    <row r="43" spans="1:23" x14ac:dyDescent="0.55000000000000004">
      <c r="B43" s="3" t="s">
        <v>173</v>
      </c>
    </row>
    <row r="44" spans="1:23" x14ac:dyDescent="0.55000000000000004">
      <c r="B44" s="7" t="s">
        <v>87</v>
      </c>
      <c r="F44" s="8" t="s">
        <v>31</v>
      </c>
      <c r="H44" s="12">
        <v>-5898.8356164383558</v>
      </c>
    </row>
    <row r="45" spans="1:23" x14ac:dyDescent="0.55000000000000004">
      <c r="B45" s="7" t="s">
        <v>52</v>
      </c>
      <c r="F45" s="8" t="s">
        <v>31</v>
      </c>
      <c r="H45" s="12">
        <v>36000</v>
      </c>
      <c r="J45" s="11"/>
    </row>
    <row r="47" spans="1:23" s="3" customFormat="1" ht="14.4" x14ac:dyDescent="0.55000000000000004">
      <c r="A47" s="169" t="s">
        <v>0</v>
      </c>
      <c r="B47" s="198" t="s">
        <v>169</v>
      </c>
      <c r="C47" s="199"/>
      <c r="D47" s="199"/>
      <c r="E47" s="199"/>
      <c r="F47" s="200"/>
      <c r="G47" s="199"/>
      <c r="H47" s="199"/>
      <c r="I47" s="199"/>
      <c r="J47" s="199"/>
      <c r="K47" s="199"/>
      <c r="L47" s="199"/>
      <c r="M47" s="199"/>
      <c r="N47" s="199"/>
      <c r="O47" s="199"/>
      <c r="P47" s="199"/>
      <c r="Q47" s="199"/>
      <c r="R47" s="199"/>
      <c r="S47" s="199"/>
      <c r="T47" s="199"/>
      <c r="U47" s="199"/>
      <c r="V47" s="199"/>
      <c r="W47" s="199"/>
    </row>
    <row r="49" spans="1:14" s="23" customFormat="1" ht="25.8" x14ac:dyDescent="0.5">
      <c r="A49" s="19"/>
      <c r="B49" s="13" t="s">
        <v>108</v>
      </c>
      <c r="C49" s="20"/>
      <c r="D49" s="20"/>
      <c r="E49" s="20"/>
      <c r="F49" s="21"/>
      <c r="G49" s="20"/>
      <c r="H49" s="22" t="s">
        <v>159</v>
      </c>
      <c r="I49" s="22" t="s">
        <v>109</v>
      </c>
      <c r="J49" s="22" t="s">
        <v>110</v>
      </c>
      <c r="K49" s="22" t="s">
        <v>111</v>
      </c>
      <c r="L49" s="22" t="s">
        <v>112</v>
      </c>
      <c r="M49" s="22" t="s">
        <v>113</v>
      </c>
      <c r="N49" s="22" t="s">
        <v>114</v>
      </c>
    </row>
    <row r="50" spans="1:14" x14ac:dyDescent="0.55000000000000004">
      <c r="B50" s="7" t="s">
        <v>147</v>
      </c>
      <c r="H50" s="24">
        <v>500</v>
      </c>
      <c r="I50" s="25"/>
      <c r="J50" s="26">
        <f>H50-I50</f>
        <v>500</v>
      </c>
      <c r="K50" s="24">
        <v>100</v>
      </c>
      <c r="L50" s="27">
        <f>J50/K50</f>
        <v>5</v>
      </c>
      <c r="M50" s="24">
        <v>70</v>
      </c>
      <c r="N50" s="27">
        <f>K50/M50</f>
        <v>1.4285714285714286</v>
      </c>
    </row>
    <row r="51" spans="1:14" x14ac:dyDescent="0.55000000000000004">
      <c r="B51" s="7" t="s">
        <v>148</v>
      </c>
      <c r="H51" s="24">
        <v>550</v>
      </c>
      <c r="I51" s="25"/>
      <c r="J51" s="26">
        <f t="shared" ref="J51:J53" si="3">H51-I51</f>
        <v>550</v>
      </c>
      <c r="K51" s="24">
        <v>75</v>
      </c>
      <c r="L51" s="27">
        <f>J51/K51</f>
        <v>7.333333333333333</v>
      </c>
      <c r="M51" s="24">
        <v>35</v>
      </c>
      <c r="N51" s="27">
        <f>K51/M51</f>
        <v>2.1428571428571428</v>
      </c>
    </row>
    <row r="52" spans="1:14" x14ac:dyDescent="0.55000000000000004">
      <c r="B52" s="7" t="s">
        <v>149</v>
      </c>
      <c r="H52" s="24">
        <v>2000</v>
      </c>
      <c r="I52" s="25"/>
      <c r="J52" s="26">
        <f t="shared" si="3"/>
        <v>2000</v>
      </c>
      <c r="K52" s="24">
        <v>250</v>
      </c>
      <c r="L52" s="27">
        <f>J52/K52</f>
        <v>8</v>
      </c>
      <c r="M52" s="24">
        <v>100</v>
      </c>
      <c r="N52" s="27">
        <f>K52/M52</f>
        <v>2.5</v>
      </c>
    </row>
    <row r="53" spans="1:14" x14ac:dyDescent="0.55000000000000004">
      <c r="B53" s="7" t="s">
        <v>150</v>
      </c>
      <c r="H53" s="24">
        <v>103</v>
      </c>
      <c r="I53" s="25"/>
      <c r="J53" s="26">
        <f t="shared" si="3"/>
        <v>103</v>
      </c>
      <c r="K53" s="24">
        <v>12</v>
      </c>
      <c r="L53" s="27">
        <f>J53/K53</f>
        <v>8.5833333333333339</v>
      </c>
      <c r="M53" s="24">
        <v>5</v>
      </c>
      <c r="N53" s="27">
        <f>K53/M53</f>
        <v>2.4</v>
      </c>
    </row>
    <row r="54" spans="1:14" x14ac:dyDescent="0.55000000000000004">
      <c r="B54" s="28" t="s">
        <v>177</v>
      </c>
      <c r="C54" s="28"/>
      <c r="D54" s="28"/>
      <c r="E54" s="28"/>
      <c r="F54" s="29"/>
      <c r="G54" s="28"/>
      <c r="H54" s="30"/>
      <c r="I54" s="30"/>
      <c r="J54" s="30"/>
      <c r="K54" s="30"/>
      <c r="L54" s="31">
        <f>MEDIAN(L50:L53)</f>
        <v>7.6666666666666661</v>
      </c>
      <c r="M54" s="32"/>
      <c r="N54" s="31">
        <f>MEDIAN(N50:N53)</f>
        <v>2.2714285714285714</v>
      </c>
    </row>
    <row r="56" spans="1:14" x14ac:dyDescent="0.55000000000000004">
      <c r="B56" s="7" t="s">
        <v>161</v>
      </c>
      <c r="F56" s="8" t="s">
        <v>19</v>
      </c>
      <c r="H56" s="27">
        <f>N54</f>
        <v>2.2714285714285714</v>
      </c>
    </row>
    <row r="57" spans="1:14" x14ac:dyDescent="0.55000000000000004">
      <c r="B57" s="7" t="s">
        <v>162</v>
      </c>
      <c r="F57" s="8" t="s">
        <v>19</v>
      </c>
      <c r="H57" s="27">
        <f>L54</f>
        <v>7.6666666666666661</v>
      </c>
    </row>
    <row r="58" spans="1:14" x14ac:dyDescent="0.55000000000000004">
      <c r="B58" s="7" t="s">
        <v>163</v>
      </c>
      <c r="F58" s="8" t="s">
        <v>16</v>
      </c>
      <c r="H58" s="33">
        <v>0.15</v>
      </c>
    </row>
    <row r="60" spans="1:14" x14ac:dyDescent="0.5">
      <c r="B60" s="13" t="s">
        <v>116</v>
      </c>
      <c r="C60" s="20"/>
      <c r="D60" s="20"/>
      <c r="E60" s="20"/>
      <c r="F60" s="21"/>
      <c r="G60" s="20"/>
      <c r="H60" s="20"/>
      <c r="I60" s="16" t="s">
        <v>117</v>
      </c>
      <c r="J60" s="16" t="s">
        <v>118</v>
      </c>
    </row>
    <row r="61" spans="1:14" x14ac:dyDescent="0.55000000000000004">
      <c r="B61" s="34" t="s">
        <v>119</v>
      </c>
      <c r="C61" s="6"/>
      <c r="D61" s="6"/>
      <c r="E61" s="6"/>
      <c r="F61" s="6"/>
      <c r="G61" s="6"/>
      <c r="H61" s="6"/>
      <c r="I61" s="35">
        <v>15</v>
      </c>
      <c r="J61" s="35">
        <v>250</v>
      </c>
    </row>
    <row r="62" spans="1:14" x14ac:dyDescent="0.55000000000000004">
      <c r="B62" s="34" t="s">
        <v>120</v>
      </c>
      <c r="C62" s="6"/>
      <c r="D62" s="6"/>
      <c r="E62" s="6"/>
      <c r="F62" s="6"/>
      <c r="G62" s="6"/>
      <c r="H62" s="6"/>
      <c r="I62" s="36">
        <v>1</v>
      </c>
      <c r="J62" s="36">
        <v>35</v>
      </c>
    </row>
    <row r="63" spans="1:14" x14ac:dyDescent="0.55000000000000004">
      <c r="B63" s="37" t="s">
        <v>178</v>
      </c>
      <c r="C63" s="38"/>
      <c r="D63" s="38"/>
      <c r="E63" s="38"/>
      <c r="F63" s="38"/>
      <c r="G63" s="38"/>
      <c r="H63" s="38"/>
      <c r="I63" s="30">
        <f>SUM(I61:I62)</f>
        <v>16</v>
      </c>
      <c r="J63" s="30">
        <f>SUM(J61:J62)</f>
        <v>285</v>
      </c>
    </row>
    <row r="64" spans="1:14" x14ac:dyDescent="0.55000000000000004">
      <c r="B64" s="34" t="s">
        <v>126</v>
      </c>
      <c r="C64" s="6"/>
      <c r="D64" s="6"/>
      <c r="E64" s="6"/>
      <c r="F64" s="6"/>
      <c r="G64" s="6"/>
      <c r="H64" s="39"/>
      <c r="I64" s="39">
        <f>I62/I63</f>
        <v>6.25E-2</v>
      </c>
      <c r="J64" s="39">
        <f>J62/J63</f>
        <v>0.12280701754385964</v>
      </c>
    </row>
    <row r="65" spans="1:23" x14ac:dyDescent="0.55000000000000004">
      <c r="B65" s="6"/>
      <c r="C65" s="6"/>
      <c r="D65" s="6"/>
      <c r="E65" s="6"/>
      <c r="F65" s="6"/>
      <c r="G65" s="6"/>
      <c r="H65" s="39"/>
      <c r="I65" s="39"/>
    </row>
    <row r="66" spans="1:23" x14ac:dyDescent="0.5">
      <c r="B66" s="40" t="s">
        <v>179</v>
      </c>
      <c r="C66" s="41"/>
      <c r="D66" s="41"/>
      <c r="E66" s="41"/>
      <c r="F66" s="41"/>
      <c r="G66" s="41"/>
      <c r="H66" s="16" t="s">
        <v>137</v>
      </c>
      <c r="I66" s="16" t="s">
        <v>117</v>
      </c>
      <c r="J66" s="16" t="s">
        <v>118</v>
      </c>
    </row>
    <row r="67" spans="1:23" x14ac:dyDescent="0.55000000000000004">
      <c r="B67" s="34" t="s">
        <v>121</v>
      </c>
      <c r="C67" s="6"/>
      <c r="D67" s="6"/>
      <c r="E67" s="6"/>
      <c r="F67" s="42" t="s">
        <v>16</v>
      </c>
      <c r="G67" s="6"/>
      <c r="H67" s="33">
        <v>0.9</v>
      </c>
      <c r="I67" s="39">
        <f>($H$72-$I$69)*$H67</f>
        <v>0.84375</v>
      </c>
      <c r="J67" s="39">
        <f>(1-$J$64)*I67</f>
        <v>0.74013157894736847</v>
      </c>
    </row>
    <row r="68" spans="1:23" x14ac:dyDescent="0.55000000000000004">
      <c r="B68" s="34" t="s">
        <v>122</v>
      </c>
      <c r="C68" s="6"/>
      <c r="D68" s="6"/>
      <c r="E68" s="6"/>
      <c r="F68" s="42" t="s">
        <v>16</v>
      </c>
      <c r="G68" s="6"/>
      <c r="H68" s="33">
        <v>0.1</v>
      </c>
      <c r="I68" s="39">
        <f>($H$72-$I$69)*$H68</f>
        <v>9.375E-2</v>
      </c>
      <c r="J68" s="39">
        <f t="shared" ref="J68:J69" si="4">(1-$J$64)*I68</f>
        <v>8.2236842105263164E-2</v>
      </c>
    </row>
    <row r="69" spans="1:23" x14ac:dyDescent="0.55000000000000004">
      <c r="B69" s="34" t="s">
        <v>128</v>
      </c>
      <c r="C69" s="6"/>
      <c r="D69" s="6"/>
      <c r="E69" s="6"/>
      <c r="F69" s="42" t="s">
        <v>16</v>
      </c>
      <c r="G69" s="6"/>
      <c r="H69" s="25"/>
      <c r="I69" s="18">
        <f>I64</f>
        <v>6.25E-2</v>
      </c>
      <c r="J69" s="18">
        <f t="shared" si="4"/>
        <v>5.4824561403508776E-2</v>
      </c>
    </row>
    <row r="70" spans="1:23" x14ac:dyDescent="0.55000000000000004">
      <c r="B70" s="34" t="s">
        <v>129</v>
      </c>
      <c r="C70" s="6"/>
      <c r="D70" s="6"/>
      <c r="E70" s="6"/>
      <c r="F70" s="42" t="s">
        <v>16</v>
      </c>
      <c r="G70" s="6"/>
      <c r="H70" s="25"/>
      <c r="I70" s="25"/>
      <c r="J70" s="18">
        <f>J64</f>
        <v>0.12280701754385964</v>
      </c>
    </row>
    <row r="71" spans="1:23" x14ac:dyDescent="0.55000000000000004">
      <c r="B71" s="34" t="s">
        <v>130</v>
      </c>
      <c r="C71" s="6"/>
      <c r="D71" s="6"/>
      <c r="E71" s="6"/>
      <c r="F71" s="42" t="s">
        <v>16</v>
      </c>
      <c r="G71" s="6"/>
      <c r="H71" s="25"/>
      <c r="I71" s="25"/>
      <c r="J71" s="25"/>
    </row>
    <row r="72" spans="1:23" x14ac:dyDescent="0.55000000000000004">
      <c r="B72" s="43" t="s">
        <v>181</v>
      </c>
      <c r="C72" s="43"/>
      <c r="D72" s="43"/>
      <c r="E72" s="43"/>
      <c r="F72" s="44" t="s">
        <v>16</v>
      </c>
      <c r="G72" s="43"/>
      <c r="H72" s="45">
        <f>SUM(H67:H71)</f>
        <v>1</v>
      </c>
      <c r="I72" s="45">
        <f t="shared" ref="I72:J72" si="5">SUM(I67:I71)</f>
        <v>1</v>
      </c>
      <c r="J72" s="45">
        <f t="shared" si="5"/>
        <v>1</v>
      </c>
    </row>
    <row r="74" spans="1:23" s="3" customFormat="1" ht="14.4" x14ac:dyDescent="0.55000000000000004">
      <c r="A74" s="169" t="s">
        <v>0</v>
      </c>
      <c r="B74" s="198" t="s">
        <v>174</v>
      </c>
      <c r="C74" s="199"/>
      <c r="D74" s="199"/>
      <c r="E74" s="199"/>
      <c r="F74" s="200"/>
      <c r="G74" s="199"/>
      <c r="H74" s="199"/>
      <c r="I74" s="199"/>
      <c r="J74" s="199"/>
      <c r="K74" s="199"/>
      <c r="L74" s="199"/>
      <c r="M74" s="199"/>
      <c r="N74" s="199"/>
      <c r="O74" s="199"/>
      <c r="P74" s="199"/>
      <c r="Q74" s="199"/>
      <c r="R74" s="199"/>
      <c r="S74" s="199"/>
      <c r="T74" s="199"/>
      <c r="U74" s="199"/>
      <c r="V74" s="199"/>
      <c r="W74" s="199"/>
    </row>
    <row r="76" spans="1:23" x14ac:dyDescent="0.55000000000000004">
      <c r="B76" s="3" t="s">
        <v>175</v>
      </c>
    </row>
    <row r="77" spans="1:23" x14ac:dyDescent="0.55000000000000004">
      <c r="B77" s="7" t="s">
        <v>6</v>
      </c>
      <c r="F77" s="8" t="s">
        <v>12</v>
      </c>
      <c r="L77" s="46">
        <f>EOMONTH(L78,0)</f>
        <v>46053</v>
      </c>
      <c r="M77" s="46">
        <f t="shared" ref="M77:W77" si="6">EOMONTH(M78,0)</f>
        <v>46081</v>
      </c>
      <c r="N77" s="46">
        <f t="shared" si="6"/>
        <v>46112</v>
      </c>
      <c r="O77" s="46">
        <f t="shared" si="6"/>
        <v>46142</v>
      </c>
      <c r="P77" s="46">
        <f t="shared" si="6"/>
        <v>46173</v>
      </c>
      <c r="Q77" s="46">
        <f t="shared" si="6"/>
        <v>46203</v>
      </c>
      <c r="R77" s="46">
        <f t="shared" si="6"/>
        <v>46234</v>
      </c>
      <c r="S77" s="46">
        <f t="shared" si="6"/>
        <v>46265</v>
      </c>
      <c r="T77" s="46">
        <f t="shared" si="6"/>
        <v>46295</v>
      </c>
      <c r="U77" s="46">
        <f t="shared" si="6"/>
        <v>46326</v>
      </c>
      <c r="V77" s="46">
        <f t="shared" si="6"/>
        <v>46356</v>
      </c>
      <c r="W77" s="46">
        <f t="shared" si="6"/>
        <v>46387</v>
      </c>
    </row>
    <row r="78" spans="1:23" x14ac:dyDescent="0.55000000000000004">
      <c r="B78" s="7" t="s">
        <v>7</v>
      </c>
      <c r="F78" s="8" t="s">
        <v>12</v>
      </c>
      <c r="L78" s="47">
        <f>$H$12</f>
        <v>46023</v>
      </c>
      <c r="M78" s="46">
        <f>L77+1</f>
        <v>46054</v>
      </c>
      <c r="N78" s="46">
        <f t="shared" ref="N78:W78" si="7">M77+1</f>
        <v>46082</v>
      </c>
      <c r="O78" s="46">
        <f t="shared" si="7"/>
        <v>46113</v>
      </c>
      <c r="P78" s="46">
        <f t="shared" si="7"/>
        <v>46143</v>
      </c>
      <c r="Q78" s="46">
        <f t="shared" si="7"/>
        <v>46174</v>
      </c>
      <c r="R78" s="46">
        <f t="shared" si="7"/>
        <v>46204</v>
      </c>
      <c r="S78" s="46">
        <f t="shared" si="7"/>
        <v>46235</v>
      </c>
      <c r="T78" s="46">
        <f t="shared" si="7"/>
        <v>46266</v>
      </c>
      <c r="U78" s="46">
        <f t="shared" si="7"/>
        <v>46296</v>
      </c>
      <c r="V78" s="46">
        <f t="shared" si="7"/>
        <v>46327</v>
      </c>
      <c r="W78" s="46">
        <f t="shared" si="7"/>
        <v>46357</v>
      </c>
    </row>
    <row r="79" spans="1:23" x14ac:dyDescent="0.55000000000000004">
      <c r="B79" s="7" t="s">
        <v>8</v>
      </c>
      <c r="F79" s="8" t="s">
        <v>13</v>
      </c>
      <c r="L79" s="7">
        <f>YEAR(L77)</f>
        <v>2026</v>
      </c>
      <c r="M79" s="7">
        <f t="shared" ref="M79:W79" si="8">YEAR(M77)</f>
        <v>2026</v>
      </c>
      <c r="N79" s="7">
        <f t="shared" si="8"/>
        <v>2026</v>
      </c>
      <c r="O79" s="7">
        <f t="shared" si="8"/>
        <v>2026</v>
      </c>
      <c r="P79" s="7">
        <f t="shared" si="8"/>
        <v>2026</v>
      </c>
      <c r="Q79" s="7">
        <f t="shared" si="8"/>
        <v>2026</v>
      </c>
      <c r="R79" s="7">
        <f t="shared" si="8"/>
        <v>2026</v>
      </c>
      <c r="S79" s="7">
        <f t="shared" si="8"/>
        <v>2026</v>
      </c>
      <c r="T79" s="7">
        <f t="shared" si="8"/>
        <v>2026</v>
      </c>
      <c r="U79" s="7">
        <f t="shared" si="8"/>
        <v>2026</v>
      </c>
      <c r="V79" s="7">
        <f t="shared" si="8"/>
        <v>2026</v>
      </c>
      <c r="W79" s="7">
        <f t="shared" si="8"/>
        <v>2026</v>
      </c>
    </row>
    <row r="80" spans="1:23" x14ac:dyDescent="0.55000000000000004">
      <c r="B80" s="7" t="s">
        <v>9</v>
      </c>
      <c r="F80" s="8" t="s">
        <v>15</v>
      </c>
      <c r="L80" s="7">
        <f>L77-L78+1</f>
        <v>31</v>
      </c>
      <c r="M80" s="7">
        <f t="shared" ref="M80:W80" si="9">M77-M78+1</f>
        <v>28</v>
      </c>
      <c r="N80" s="7">
        <f t="shared" si="9"/>
        <v>31</v>
      </c>
      <c r="O80" s="7">
        <f t="shared" si="9"/>
        <v>30</v>
      </c>
      <c r="P80" s="7">
        <f t="shared" si="9"/>
        <v>31</v>
      </c>
      <c r="Q80" s="7">
        <f t="shared" si="9"/>
        <v>30</v>
      </c>
      <c r="R80" s="7">
        <f t="shared" si="9"/>
        <v>31</v>
      </c>
      <c r="S80" s="7">
        <f t="shared" si="9"/>
        <v>31</v>
      </c>
      <c r="T80" s="7">
        <f t="shared" si="9"/>
        <v>30</v>
      </c>
      <c r="U80" s="7">
        <f t="shared" si="9"/>
        <v>31</v>
      </c>
      <c r="V80" s="7">
        <f t="shared" si="9"/>
        <v>30</v>
      </c>
      <c r="W80" s="7">
        <f t="shared" si="9"/>
        <v>31</v>
      </c>
    </row>
    <row r="82" spans="1:23" x14ac:dyDescent="0.55000000000000004">
      <c r="B82" s="3" t="s">
        <v>176</v>
      </c>
    </row>
    <row r="83" spans="1:23" x14ac:dyDescent="0.55000000000000004">
      <c r="B83" s="7" t="s">
        <v>6</v>
      </c>
      <c r="F83" s="8" t="s">
        <v>12</v>
      </c>
      <c r="L83" s="46">
        <f>EOMONTH(L84,2)</f>
        <v>46112</v>
      </c>
      <c r="M83" s="46">
        <f t="shared" ref="M83:O83" si="10">EOMONTH(M84,2)</f>
        <v>46203</v>
      </c>
      <c r="N83" s="46">
        <f t="shared" si="10"/>
        <v>46295</v>
      </c>
      <c r="O83" s="46">
        <f t="shared" si="10"/>
        <v>46387</v>
      </c>
      <c r="P83" s="25"/>
      <c r="Q83" s="25"/>
      <c r="R83" s="25"/>
      <c r="S83" s="25"/>
      <c r="T83" s="25"/>
      <c r="U83" s="25"/>
      <c r="V83" s="25"/>
      <c r="W83" s="25"/>
    </row>
    <row r="84" spans="1:23" x14ac:dyDescent="0.55000000000000004">
      <c r="B84" s="7" t="s">
        <v>7</v>
      </c>
      <c r="F84" s="8" t="s">
        <v>12</v>
      </c>
      <c r="L84" s="47">
        <f>$H$12</f>
        <v>46023</v>
      </c>
      <c r="M84" s="46">
        <f>L83+1</f>
        <v>46113</v>
      </c>
      <c r="N84" s="46">
        <f t="shared" ref="N84:O84" si="11">M83+1</f>
        <v>46204</v>
      </c>
      <c r="O84" s="46">
        <f t="shared" si="11"/>
        <v>46296</v>
      </c>
      <c r="P84" s="25"/>
      <c r="Q84" s="25"/>
      <c r="R84" s="25"/>
      <c r="S84" s="25"/>
      <c r="T84" s="25"/>
      <c r="U84" s="25"/>
      <c r="V84" s="25"/>
      <c r="W84" s="25"/>
    </row>
    <row r="85" spans="1:23" x14ac:dyDescent="0.55000000000000004">
      <c r="B85" s="7" t="s">
        <v>8</v>
      </c>
      <c r="F85" s="8" t="s">
        <v>13</v>
      </c>
      <c r="L85" s="7">
        <f>YEAR(L83)</f>
        <v>2026</v>
      </c>
      <c r="M85" s="7">
        <f t="shared" ref="M85:O85" si="12">YEAR(M83)</f>
        <v>2026</v>
      </c>
      <c r="N85" s="7">
        <f t="shared" si="12"/>
        <v>2026</v>
      </c>
      <c r="O85" s="7">
        <f t="shared" si="12"/>
        <v>2026</v>
      </c>
      <c r="P85" s="25"/>
      <c r="Q85" s="25"/>
      <c r="R85" s="25"/>
      <c r="S85" s="25"/>
      <c r="T85" s="25"/>
      <c r="U85" s="25"/>
      <c r="V85" s="25"/>
      <c r="W85" s="25"/>
    </row>
    <row r="86" spans="1:23" x14ac:dyDescent="0.55000000000000004">
      <c r="B86" s="7" t="s">
        <v>9</v>
      </c>
      <c r="F86" s="8" t="s">
        <v>15</v>
      </c>
      <c r="L86" s="7">
        <f>L83-L84+1</f>
        <v>90</v>
      </c>
      <c r="M86" s="7">
        <f t="shared" ref="M86:O86" si="13">M83-M84+1</f>
        <v>91</v>
      </c>
      <c r="N86" s="7">
        <f t="shared" si="13"/>
        <v>92</v>
      </c>
      <c r="O86" s="7">
        <f t="shared" si="13"/>
        <v>92</v>
      </c>
      <c r="P86" s="25"/>
      <c r="Q86" s="25"/>
      <c r="R86" s="25"/>
      <c r="S86" s="25"/>
      <c r="T86" s="25"/>
      <c r="U86" s="25"/>
      <c r="V86" s="25"/>
      <c r="W86" s="25"/>
    </row>
    <row r="88" spans="1:23" ht="14.4" x14ac:dyDescent="0.55000000000000004">
      <c r="A88" s="163" t="s">
        <v>0</v>
      </c>
      <c r="B88" s="164" t="s">
        <v>180</v>
      </c>
      <c r="C88" s="49"/>
      <c r="D88" s="49"/>
      <c r="E88" s="49"/>
      <c r="F88" s="50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EE208-12D2-4A14-8CCF-30B602CE479B}">
  <sheetPr>
    <tabColor theme="4"/>
    <pageSetUpPr autoPageBreaks="0"/>
  </sheetPr>
  <dimension ref="A1:AF88"/>
  <sheetViews>
    <sheetView showGridLines="0" zoomScale="85" zoomScaleNormal="85" workbookViewId="0">
      <pane xSplit="13" ySplit="16" topLeftCell="N17" activePane="bottomRight" state="frozen"/>
      <selection activeCell="A7" sqref="A7"/>
      <selection pane="topRight" activeCell="A7" sqref="A7"/>
      <selection pane="bottomLeft" activeCell="A7" sqref="A7"/>
      <selection pane="bottomRight"/>
    </sheetView>
  </sheetViews>
  <sheetFormatPr defaultColWidth="9.3125" defaultRowHeight="12.9" x14ac:dyDescent="0.55000000000000004"/>
  <cols>
    <col min="1" max="1" width="2.578125" style="6" customWidth="1"/>
    <col min="2" max="5" width="9.3125" style="7"/>
    <col min="6" max="6" width="9.3125" style="8"/>
    <col min="7" max="7" width="9.3125" style="7"/>
    <col min="8" max="8" width="9.3125" style="7" customWidth="1"/>
    <col min="9" max="9" width="9.3125" style="7"/>
    <col min="10" max="10" width="9.3125" style="98"/>
    <col min="11" max="13" width="9.3125" style="7"/>
    <col min="14" max="23" width="9.3125" style="7" customWidth="1"/>
    <col min="24" max="25" width="9.3125" style="7"/>
    <col min="26" max="26" width="1.578125" style="7" customWidth="1"/>
    <col min="27" max="30" width="9.3125" style="7"/>
    <col min="31" max="31" width="1.578125" style="7" customWidth="1"/>
    <col min="32" max="16384" width="9.3125" style="7"/>
  </cols>
  <sheetData>
    <row r="1" spans="1:32" ht="6" customHeight="1" thickBot="1" x14ac:dyDescent="0.6">
      <c r="B1" s="101"/>
      <c r="C1" s="101"/>
      <c r="D1" s="101"/>
      <c r="E1" s="101"/>
      <c r="F1" s="195"/>
      <c r="G1" s="101"/>
      <c r="H1" s="101"/>
      <c r="I1" s="101"/>
      <c r="J1" s="100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</row>
    <row r="2" spans="1:32" s="181" customFormat="1" ht="3" customHeight="1" x14ac:dyDescent="0.55000000000000004">
      <c r="A2" s="180"/>
      <c r="F2" s="182"/>
    </row>
    <row r="3" spans="1:32" s="181" customFormat="1" ht="15.6" x14ac:dyDescent="0.55000000000000004">
      <c r="A3" s="180"/>
      <c r="B3" s="194" t="s">
        <v>160</v>
      </c>
    </row>
    <row r="4" spans="1:32" s="181" customFormat="1" ht="14.4" x14ac:dyDescent="0.55000000000000004">
      <c r="A4" s="180"/>
      <c r="B4" s="179" t="s">
        <v>123</v>
      </c>
    </row>
    <row r="5" spans="1:32" s="181" customFormat="1" ht="3" customHeight="1" x14ac:dyDescent="0.55000000000000004">
      <c r="A5" s="180"/>
      <c r="F5" s="182"/>
    </row>
    <row r="6" spans="1:32" s="181" customFormat="1" x14ac:dyDescent="0.55000000000000004">
      <c r="A6" s="180"/>
      <c r="F6" s="182"/>
      <c r="L6" s="180"/>
      <c r="M6" s="180"/>
      <c r="N6" s="180"/>
      <c r="O6" s="180"/>
      <c r="P6" s="180"/>
      <c r="Q6" s="180"/>
      <c r="R6" s="180"/>
      <c r="S6" s="180"/>
      <c r="T6" s="180"/>
      <c r="U6" s="180"/>
      <c r="V6" s="180"/>
      <c r="W6" s="180"/>
      <c r="X6" s="180"/>
      <c r="Y6" s="180"/>
      <c r="Z6" s="180"/>
      <c r="AA6" s="180"/>
      <c r="AB6" s="180"/>
      <c r="AC6" s="180"/>
      <c r="AD6" s="180"/>
      <c r="AE6" s="180"/>
      <c r="AF6" s="180"/>
    </row>
    <row r="7" spans="1:32" s="181" customFormat="1" ht="3" customHeight="1" thickBot="1" x14ac:dyDescent="0.6">
      <c r="A7" s="180"/>
      <c r="B7" s="196"/>
      <c r="C7" s="196"/>
      <c r="D7" s="196"/>
      <c r="E7" s="196"/>
      <c r="F7" s="197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6"/>
      <c r="U7" s="196"/>
      <c r="V7" s="196"/>
      <c r="W7" s="196"/>
      <c r="X7" s="196"/>
      <c r="Y7" s="196"/>
      <c r="Z7" s="196"/>
      <c r="AA7" s="196"/>
      <c r="AB7" s="196"/>
      <c r="AC7" s="196"/>
      <c r="AD7" s="196"/>
      <c r="AE7" s="196"/>
      <c r="AF7" s="196"/>
    </row>
    <row r="8" spans="1:32" s="3" customFormat="1" ht="3" customHeight="1" x14ac:dyDescent="0.55000000000000004">
      <c r="A8" s="4"/>
      <c r="F8" s="5"/>
      <c r="J8" s="94"/>
    </row>
    <row r="9" spans="1:32" s="3" customFormat="1" ht="3" customHeight="1" x14ac:dyDescent="0.55000000000000004">
      <c r="A9" s="4"/>
      <c r="F9" s="5"/>
      <c r="J9" s="94"/>
    </row>
    <row r="10" spans="1:32" s="3" customFormat="1" ht="14.4" x14ac:dyDescent="0.55000000000000004">
      <c r="A10" s="169" t="s">
        <v>0</v>
      </c>
      <c r="B10" s="198" t="s">
        <v>182</v>
      </c>
      <c r="C10" s="199"/>
      <c r="D10" s="199"/>
      <c r="E10" s="199"/>
      <c r="F10" s="200"/>
      <c r="G10" s="199"/>
      <c r="H10" s="199"/>
      <c r="I10" s="199"/>
      <c r="J10" s="201"/>
      <c r="K10" s="199"/>
      <c r="L10" s="199"/>
      <c r="M10" s="199"/>
      <c r="N10" s="199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</row>
    <row r="11" spans="1:32" s="3" customFormat="1" x14ac:dyDescent="0.55000000000000004">
      <c r="A11" s="4"/>
      <c r="F11" s="5"/>
      <c r="J11" s="94"/>
    </row>
    <row r="12" spans="1:32" s="3" customFormat="1" x14ac:dyDescent="0.55000000000000004">
      <c r="A12" s="4"/>
      <c r="F12" s="5"/>
      <c r="J12" s="94"/>
      <c r="N12" s="95" t="s">
        <v>40</v>
      </c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AA12" s="95" t="s">
        <v>41</v>
      </c>
      <c r="AB12" s="95"/>
      <c r="AC12" s="95"/>
      <c r="AD12" s="95"/>
      <c r="AF12" s="95" t="s">
        <v>140</v>
      </c>
    </row>
    <row r="13" spans="1:32" s="3" customFormat="1" x14ac:dyDescent="0.55000000000000004">
      <c r="A13" s="4"/>
      <c r="F13" s="5"/>
      <c r="J13" s="94" t="s">
        <v>6</v>
      </c>
      <c r="N13" s="96">
        <f>INP!L77</f>
        <v>46053</v>
      </c>
      <c r="O13" s="96">
        <f>INP!M77</f>
        <v>46081</v>
      </c>
      <c r="P13" s="96">
        <f>INP!N77</f>
        <v>46112</v>
      </c>
      <c r="Q13" s="96">
        <f>INP!O77</f>
        <v>46142</v>
      </c>
      <c r="R13" s="96">
        <f>INP!P77</f>
        <v>46173</v>
      </c>
      <c r="S13" s="96">
        <f>INP!Q77</f>
        <v>46203</v>
      </c>
      <c r="T13" s="96">
        <f>INP!R77</f>
        <v>46234</v>
      </c>
      <c r="U13" s="96">
        <f>INP!S77</f>
        <v>46265</v>
      </c>
      <c r="V13" s="96">
        <f>INP!T77</f>
        <v>46295</v>
      </c>
      <c r="W13" s="96">
        <f>INP!U77</f>
        <v>46326</v>
      </c>
      <c r="X13" s="96">
        <f>INP!V77</f>
        <v>46356</v>
      </c>
      <c r="Y13" s="96">
        <f>INP!W77</f>
        <v>46387</v>
      </c>
      <c r="AA13" s="96">
        <f>INP!L83</f>
        <v>46112</v>
      </c>
      <c r="AB13" s="96">
        <f>INP!M83</f>
        <v>46203</v>
      </c>
      <c r="AC13" s="96">
        <f>INP!N83</f>
        <v>46295</v>
      </c>
      <c r="AD13" s="96">
        <f>INP!O83</f>
        <v>46387</v>
      </c>
      <c r="AF13" s="97">
        <f>AD13</f>
        <v>46387</v>
      </c>
    </row>
    <row r="14" spans="1:32" ht="14.4" x14ac:dyDescent="0.55000000000000004">
      <c r="A14" s="167"/>
      <c r="B14" s="168"/>
      <c r="J14" s="98" t="s">
        <v>7</v>
      </c>
      <c r="N14" s="46">
        <f>INP!L78</f>
        <v>46023</v>
      </c>
      <c r="O14" s="46">
        <f>INP!M78</f>
        <v>46054</v>
      </c>
      <c r="P14" s="46">
        <f>INP!N78</f>
        <v>46082</v>
      </c>
      <c r="Q14" s="46">
        <f>INP!O78</f>
        <v>46113</v>
      </c>
      <c r="R14" s="46">
        <f>INP!P78</f>
        <v>46143</v>
      </c>
      <c r="S14" s="46">
        <f>INP!Q78</f>
        <v>46174</v>
      </c>
      <c r="T14" s="46">
        <f>INP!R78</f>
        <v>46204</v>
      </c>
      <c r="U14" s="46">
        <f>INP!S78</f>
        <v>46235</v>
      </c>
      <c r="V14" s="46">
        <f>INP!T78</f>
        <v>46266</v>
      </c>
      <c r="W14" s="46">
        <f>INP!U78</f>
        <v>46296</v>
      </c>
      <c r="X14" s="46">
        <f>INP!V78</f>
        <v>46327</v>
      </c>
      <c r="Y14" s="46">
        <f>INP!W78</f>
        <v>46357</v>
      </c>
      <c r="AA14" s="46">
        <f>INP!L84</f>
        <v>46023</v>
      </c>
      <c r="AB14" s="46">
        <f>INP!M84</f>
        <v>46113</v>
      </c>
      <c r="AC14" s="46">
        <f>INP!N84</f>
        <v>46204</v>
      </c>
      <c r="AD14" s="46">
        <f>INP!O84</f>
        <v>46296</v>
      </c>
      <c r="AF14" s="99">
        <f>AA14</f>
        <v>46023</v>
      </c>
    </row>
    <row r="15" spans="1:32" ht="13.2" thickBot="1" x14ac:dyDescent="0.6">
      <c r="J15" s="100" t="s">
        <v>8</v>
      </c>
      <c r="K15" s="101"/>
      <c r="L15" s="101"/>
      <c r="M15" s="101"/>
      <c r="N15" s="101">
        <f>INP!L79</f>
        <v>2026</v>
      </c>
      <c r="O15" s="101">
        <f>INP!M79</f>
        <v>2026</v>
      </c>
      <c r="P15" s="101">
        <f>INP!N79</f>
        <v>2026</v>
      </c>
      <c r="Q15" s="101">
        <f>INP!O79</f>
        <v>2026</v>
      </c>
      <c r="R15" s="101">
        <f>INP!P79</f>
        <v>2026</v>
      </c>
      <c r="S15" s="101">
        <f>INP!Q79</f>
        <v>2026</v>
      </c>
      <c r="T15" s="101">
        <f>INP!R79</f>
        <v>2026</v>
      </c>
      <c r="U15" s="101">
        <f>INP!S79</f>
        <v>2026</v>
      </c>
      <c r="V15" s="101">
        <f>INP!T79</f>
        <v>2026</v>
      </c>
      <c r="W15" s="101">
        <f>INP!U79</f>
        <v>2026</v>
      </c>
      <c r="X15" s="101">
        <f>INP!V79</f>
        <v>2026</v>
      </c>
      <c r="Y15" s="101">
        <f>INP!W79</f>
        <v>2026</v>
      </c>
      <c r="Z15" s="101"/>
      <c r="AA15" s="101">
        <f>INP!L85</f>
        <v>2026</v>
      </c>
      <c r="AB15" s="101">
        <f>INP!M85</f>
        <v>2026</v>
      </c>
      <c r="AC15" s="101">
        <f>INP!N85</f>
        <v>2026</v>
      </c>
      <c r="AD15" s="101">
        <f>INP!O85</f>
        <v>2026</v>
      </c>
      <c r="AE15" s="101"/>
      <c r="AF15" s="102">
        <f>AD15</f>
        <v>2026</v>
      </c>
    </row>
    <row r="16" spans="1:32" s="3" customFormat="1" ht="3" customHeight="1" x14ac:dyDescent="0.55000000000000004">
      <c r="A16" s="4"/>
      <c r="F16" s="5"/>
      <c r="J16" s="94"/>
      <c r="AF16" s="103"/>
    </row>
    <row r="17" spans="1:32" x14ac:dyDescent="0.55000000000000004">
      <c r="B17" s="104" t="s">
        <v>124</v>
      </c>
      <c r="C17" s="105"/>
      <c r="D17" s="105"/>
      <c r="E17" s="105"/>
      <c r="F17" s="106"/>
      <c r="G17" s="105"/>
      <c r="H17" s="107"/>
      <c r="J17" s="104" t="s">
        <v>102</v>
      </c>
      <c r="K17" s="108"/>
      <c r="L17" s="108"/>
      <c r="M17" s="108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10"/>
    </row>
    <row r="18" spans="1:32" x14ac:dyDescent="0.55000000000000004">
      <c r="B18" s="111" t="s">
        <v>133</v>
      </c>
      <c r="H18" s="112">
        <f>Y21</f>
        <v>24177.298665300579</v>
      </c>
      <c r="J18" s="113" t="str">
        <f>ROLL_Q!B60</f>
        <v>Customer Volumes</v>
      </c>
      <c r="N18" s="51">
        <f>ARR_M!L19</f>
        <v>658.19999999999993</v>
      </c>
      <c r="O18" s="51">
        <f>ARR_M!M19</f>
        <v>714.58399999999995</v>
      </c>
      <c r="P18" s="51">
        <f>ARR_M!N19</f>
        <v>769.22484000000009</v>
      </c>
      <c r="Q18" s="51">
        <f>ARR_M!O19</f>
        <v>822.19203800000003</v>
      </c>
      <c r="R18" s="51">
        <f>ARR_M!P19</f>
        <v>873.55195009200008</v>
      </c>
      <c r="S18" s="51">
        <f>ARR_M!Q19</f>
        <v>923.36792266364</v>
      </c>
      <c r="T18" s="51">
        <f>ARR_M!R19</f>
        <v>971.70043710561242</v>
      </c>
      <c r="U18" s="51">
        <f>ARR_M!S19</f>
        <v>1018.607247395418</v>
      </c>
      <c r="V18" s="51">
        <f>ARR_M!T19</f>
        <v>1064.143510911452</v>
      </c>
      <c r="W18" s="51">
        <f>ARR_M!U19</f>
        <v>1108.3619128137525</v>
      </c>
      <c r="X18" s="51">
        <f>ARR_M!V19</f>
        <v>1151.3127843109669</v>
      </c>
      <c r="Y18" s="51">
        <f>ARR_M!W19</f>
        <v>1193.044215117159</v>
      </c>
      <c r="Z18" s="11"/>
      <c r="AA18" s="51">
        <f>ROLL_Q!L60</f>
        <v>769.22484000000009</v>
      </c>
      <c r="AB18" s="51">
        <f>ROLL_Q!M60</f>
        <v>923.36792266364</v>
      </c>
      <c r="AC18" s="51">
        <f>ROLL_Q!N60</f>
        <v>1064.143510911452</v>
      </c>
      <c r="AD18" s="51">
        <f>ROLL_Q!O60</f>
        <v>1193.044215117159</v>
      </c>
      <c r="AE18" s="11"/>
      <c r="AF18" s="112">
        <f>AD18</f>
        <v>1193.044215117159</v>
      </c>
    </row>
    <row r="19" spans="1:32" ht="14.4" x14ac:dyDescent="0.55000000000000004">
      <c r="A19" s="167"/>
      <c r="B19" s="170" t="s">
        <v>131</v>
      </c>
      <c r="H19" s="114">
        <f>INP!H56</f>
        <v>2.2714285714285714</v>
      </c>
      <c r="J19" s="113" t="str">
        <f>ROLL_Q!B61</f>
        <v>Average Seats / Customer</v>
      </c>
      <c r="N19" s="51">
        <f>ARR_M!L25</f>
        <v>17.216651473716198</v>
      </c>
      <c r="O19" s="51">
        <f>ARR_M!M25</f>
        <v>19.186893913101894</v>
      </c>
      <c r="P19" s="51">
        <f>ARR_M!N25</f>
        <v>21.162412376048596</v>
      </c>
      <c r="Q19" s="51">
        <f>ARR_M!O25</f>
        <v>23.172893249491903</v>
      </c>
      <c r="R19" s="51">
        <f>ARR_M!P25</f>
        <v>25.242028465502507</v>
      </c>
      <c r="S19" s="51">
        <f>ARR_M!Q25</f>
        <v>27.389764138944649</v>
      </c>
      <c r="T19" s="51">
        <f>ARR_M!R25</f>
        <v>29.633710398237113</v>
      </c>
      <c r="U19" s="51">
        <f>ARR_M!S25</f>
        <v>31.990064214994597</v>
      </c>
      <c r="V19" s="51">
        <f>ARR_M!T25</f>
        <v>34.474238636072755</v>
      </c>
      <c r="W19" s="51">
        <f>ARR_M!U25</f>
        <v>37.101309437236281</v>
      </c>
      <c r="X19" s="51">
        <f>ARR_M!V25</f>
        <v>39.886345373018088</v>
      </c>
      <c r="Y19" s="51">
        <f>ARR_M!W25</f>
        <v>42.844662806577823</v>
      </c>
      <c r="Z19" s="11"/>
      <c r="AA19" s="51">
        <f>ROLL_Q!L61</f>
        <v>21.162412376048596</v>
      </c>
      <c r="AB19" s="51">
        <f>ROLL_Q!M61</f>
        <v>27.389764138944649</v>
      </c>
      <c r="AC19" s="51">
        <f>ROLL_Q!N61</f>
        <v>34.474238636072755</v>
      </c>
      <c r="AD19" s="51">
        <f>ROLL_Q!O61</f>
        <v>42.844662806577823</v>
      </c>
      <c r="AE19" s="11"/>
      <c r="AF19" s="112">
        <f t="shared" ref="AF19:AF21" si="0">AD19</f>
        <v>42.844662806577823</v>
      </c>
    </row>
    <row r="20" spans="1:32" x14ac:dyDescent="0.55000000000000004">
      <c r="B20" s="115" t="s">
        <v>132</v>
      </c>
      <c r="C20" s="28"/>
      <c r="D20" s="28"/>
      <c r="E20" s="28"/>
      <c r="F20" s="29"/>
      <c r="G20" s="28"/>
      <c r="H20" s="116">
        <f>H18*H19</f>
        <v>54917.006968325601</v>
      </c>
      <c r="J20" s="113" t="str">
        <f>ROLL_Q!B62</f>
        <v>Average ARR / Customer</v>
      </c>
      <c r="N20" s="51">
        <f>ARR_M!L31</f>
        <v>9.0940747493163165</v>
      </c>
      <c r="O20" s="51">
        <f>ARR_M!M31</f>
        <v>10.019124699125644</v>
      </c>
      <c r="P20" s="51">
        <f>ARR_M!N31</f>
        <v>10.926344856849395</v>
      </c>
      <c r="Q20" s="51">
        <f>ARR_M!O31</f>
        <v>11.832549141245067</v>
      </c>
      <c r="R20" s="51">
        <f>ARR_M!P31</f>
        <v>12.750753808956356</v>
      </c>
      <c r="S20" s="51">
        <f>ARR_M!Q31</f>
        <v>13.691554953658972</v>
      </c>
      <c r="T20" s="51">
        <f>ARR_M!R31</f>
        <v>14.663988753905116</v>
      </c>
      <c r="U20" s="51">
        <f>ARR_M!S31</f>
        <v>15.676091138372922</v>
      </c>
      <c r="V20" s="51">
        <f>ARR_M!T31</f>
        <v>16.735275960124358</v>
      </c>
      <c r="W20" s="51">
        <f>ARR_M!U31</f>
        <v>17.848600020459706</v>
      </c>
      <c r="X20" s="51">
        <f>ARR_M!V31</f>
        <v>19.022955655768403</v>
      </c>
      <c r="Y20" s="51">
        <f>ARR_M!W31</f>
        <v>20.265215956750041</v>
      </c>
      <c r="Z20" s="11"/>
      <c r="AA20" s="51">
        <f>ROLL_Q!L62</f>
        <v>10.926344856849395</v>
      </c>
      <c r="AB20" s="51">
        <f>ROLL_Q!M62</f>
        <v>13.691554953658972</v>
      </c>
      <c r="AC20" s="51">
        <f>ROLL_Q!N62</f>
        <v>16.735275960124358</v>
      </c>
      <c r="AD20" s="51">
        <f>ROLL_Q!O62</f>
        <v>20.265215956750041</v>
      </c>
      <c r="AE20" s="11"/>
      <c r="AF20" s="112">
        <f t="shared" si="0"/>
        <v>20.265215956750041</v>
      </c>
    </row>
    <row r="21" spans="1:32" x14ac:dyDescent="0.55000000000000004">
      <c r="B21" s="111" t="s">
        <v>151</v>
      </c>
      <c r="H21" s="114">
        <f>INP!H57</f>
        <v>7.6666666666666661</v>
      </c>
      <c r="J21" s="113" t="str">
        <f>ROLL_Q!B63</f>
        <v>ARR</v>
      </c>
      <c r="N21" s="51">
        <f>ARR_M!L43</f>
        <v>5985.7199999999993</v>
      </c>
      <c r="O21" s="51">
        <f>ARR_M!M43</f>
        <v>7159.5062039999993</v>
      </c>
      <c r="P21" s="51">
        <f>ARR_M!N43</f>
        <v>8404.8158742947999</v>
      </c>
      <c r="Q21" s="51">
        <f>ARR_M!O43</f>
        <v>9728.6276931754328</v>
      </c>
      <c r="R21" s="51">
        <f>ARR_M!P43</f>
        <v>11138.445854956823</v>
      </c>
      <c r="S21" s="51">
        <f>ARR_M!Q43</f>
        <v>12642.342655595156</v>
      </c>
      <c r="T21" s="51">
        <f>ARR_M!R43</f>
        <v>14249.004281881385</v>
      </c>
      <c r="U21" s="51">
        <f>ARR_M!S43</f>
        <v>15967.780044377745</v>
      </c>
      <c r="V21" s="51">
        <f>ARR_M!T43</f>
        <v>17808.735316278755</v>
      </c>
      <c r="W21" s="51">
        <f>ARR_M!U43</f>
        <v>19782.708459724301</v>
      </c>
      <c r="X21" s="51">
        <f>ARR_M!V43</f>
        <v>21901.372041866776</v>
      </c>
      <c r="Y21" s="51">
        <f>ARR_M!W43</f>
        <v>24177.298665300579</v>
      </c>
      <c r="Z21" s="11"/>
      <c r="AA21" s="51">
        <f>ROLL_Q!L63</f>
        <v>8404.8158742947999</v>
      </c>
      <c r="AB21" s="51">
        <f>ROLL_Q!M63</f>
        <v>12642.342655595156</v>
      </c>
      <c r="AC21" s="51">
        <f>ROLL_Q!N63</f>
        <v>17808.735316278755</v>
      </c>
      <c r="AD21" s="51">
        <f>ROLL_Q!O63</f>
        <v>24177.298665300579</v>
      </c>
      <c r="AE21" s="11"/>
      <c r="AF21" s="112">
        <f t="shared" si="0"/>
        <v>24177.298665300579</v>
      </c>
    </row>
    <row r="22" spans="1:32" x14ac:dyDescent="0.55000000000000004">
      <c r="B22" s="115" t="s">
        <v>134</v>
      </c>
      <c r="C22" s="28"/>
      <c r="D22" s="28"/>
      <c r="E22" s="28"/>
      <c r="F22" s="29"/>
      <c r="G22" s="28"/>
      <c r="H22" s="116">
        <f>H20*H21</f>
        <v>421030.38675716292</v>
      </c>
      <c r="J22" s="113"/>
      <c r="AF22" s="117"/>
    </row>
    <row r="23" spans="1:32" x14ac:dyDescent="0.55000000000000004">
      <c r="B23" s="111" t="s">
        <v>152</v>
      </c>
      <c r="H23" s="118">
        <f>H22/H18</f>
        <v>17.414285714285715</v>
      </c>
      <c r="J23" s="119" t="s">
        <v>88</v>
      </c>
      <c r="AF23" s="117"/>
    </row>
    <row r="24" spans="1:32" x14ac:dyDescent="0.55000000000000004">
      <c r="B24" s="111" t="s">
        <v>135</v>
      </c>
      <c r="H24" s="120">
        <f>INP!H58</f>
        <v>0.15</v>
      </c>
      <c r="J24" s="113" t="str">
        <f>ROLL_Q!B67</f>
        <v>CAC Payback</v>
      </c>
      <c r="N24" s="121">
        <f>SAAS_M!L24</f>
        <v>5.5864733698357387</v>
      </c>
      <c r="O24" s="121">
        <f>SAAS_M!M24</f>
        <v>5.7536921728252306</v>
      </c>
      <c r="P24" s="121">
        <f>SAAS_M!N24</f>
        <v>6.3202769739865525</v>
      </c>
      <c r="Q24" s="121">
        <f>SAAS_M!O24</f>
        <v>6.8399653503456816</v>
      </c>
      <c r="R24" s="121">
        <f>SAAS_M!P24</f>
        <v>7.3163432704157199</v>
      </c>
      <c r="S24" s="121">
        <f>SAAS_M!Q24</f>
        <v>7.7528075765141446</v>
      </c>
      <c r="T24" s="121">
        <f>SAAS_M!R24</f>
        <v>8.1525620584996794</v>
      </c>
      <c r="U24" s="121">
        <f>SAAS_M!S24</f>
        <v>8.5186161714850464</v>
      </c>
      <c r="V24" s="121">
        <f>SAAS_M!T24</f>
        <v>8.8537860893361415</v>
      </c>
      <c r="W24" s="121">
        <f>SAAS_M!U24</f>
        <v>9.1606977696365615</v>
      </c>
      <c r="X24" s="121">
        <f>SAAS_M!V24</f>
        <v>9.4417917044820889</v>
      </c>
      <c r="Y24" s="121">
        <f>SAAS_M!W24</f>
        <v>9.6993290417596434</v>
      </c>
      <c r="Z24" s="122"/>
      <c r="AA24" s="121">
        <f>ROLL_Q!L67</f>
        <v>6.3202769739865525</v>
      </c>
      <c r="AB24" s="121">
        <f>ROLL_Q!M67</f>
        <v>7.7528075765141446</v>
      </c>
      <c r="AC24" s="121">
        <f>ROLL_Q!N67</f>
        <v>8.8537860893361415</v>
      </c>
      <c r="AD24" s="121">
        <f>ROLL_Q!O67</f>
        <v>9.6993290417596434</v>
      </c>
      <c r="AE24" s="122"/>
      <c r="AF24" s="123">
        <f t="shared" ref="AF24:AF28" si="1">AD24</f>
        <v>9.6993290417596434</v>
      </c>
    </row>
    <row r="25" spans="1:32" x14ac:dyDescent="0.55000000000000004">
      <c r="B25" s="124" t="s">
        <v>136</v>
      </c>
      <c r="C25" s="125"/>
      <c r="D25" s="125"/>
      <c r="E25" s="125"/>
      <c r="F25" s="126"/>
      <c r="G25" s="125"/>
      <c r="H25" s="127">
        <f>H22/(1-H24)*H24</f>
        <v>74299.480015969923</v>
      </c>
      <c r="I25" s="18"/>
      <c r="J25" s="113" t="str">
        <f>ROLL_Q!B68</f>
        <v>CAC Payback % of Customer Life</v>
      </c>
      <c r="N25" s="66">
        <f>SAAS_M!L28</f>
        <v>0.249529143852663</v>
      </c>
      <c r="O25" s="66">
        <f>SAAS_M!M28</f>
        <v>0.25014836708837251</v>
      </c>
      <c r="P25" s="66">
        <f>SAAS_M!N28</f>
        <v>0.26851748695405098</v>
      </c>
      <c r="Q25" s="66">
        <f>SAAS_M!O28</f>
        <v>0.28483642800001602</v>
      </c>
      <c r="R25" s="66">
        <f>SAAS_M!P28</f>
        <v>0.29934908075805167</v>
      </c>
      <c r="S25" s="66">
        <f>SAAS_M!Q28</f>
        <v>0.31225961362703497</v>
      </c>
      <c r="T25" s="66">
        <f>SAAS_M!R28</f>
        <v>0.32374305431644818</v>
      </c>
      <c r="U25" s="66">
        <f>SAAS_M!S28</f>
        <v>0.33395195627913588</v>
      </c>
      <c r="V25" s="66">
        <f>SAAS_M!T28</f>
        <v>0.34302080807729529</v>
      </c>
      <c r="W25" s="66">
        <f>SAAS_M!U28</f>
        <v>0.35106909068667685</v>
      </c>
      <c r="X25" s="66">
        <f>SAAS_M!V28</f>
        <v>0.35820349660915984</v>
      </c>
      <c r="Y25" s="66">
        <f>SAAS_M!W28</f>
        <v>0.36451961230331803</v>
      </c>
      <c r="Z25" s="18"/>
      <c r="AA25" s="66">
        <f>ROLL_Q!L68</f>
        <v>0.26851748695405098</v>
      </c>
      <c r="AB25" s="66">
        <f>ROLL_Q!M68</f>
        <v>0.31225961362703497</v>
      </c>
      <c r="AC25" s="66">
        <f>ROLL_Q!N68</f>
        <v>0.34302080807729529</v>
      </c>
      <c r="AD25" s="66">
        <f>ROLL_Q!O68</f>
        <v>0.36451961230331803</v>
      </c>
      <c r="AE25" s="18"/>
      <c r="AF25" s="128">
        <f t="shared" si="1"/>
        <v>0.36451961230331803</v>
      </c>
    </row>
    <row r="26" spans="1:32" x14ac:dyDescent="0.55000000000000004">
      <c r="B26" s="129" t="s">
        <v>139</v>
      </c>
      <c r="C26" s="130"/>
      <c r="D26" s="130"/>
      <c r="E26" s="130"/>
      <c r="F26" s="131"/>
      <c r="G26" s="130"/>
      <c r="H26" s="132">
        <f>SUM(H22,H25)</f>
        <v>495329.86677313282</v>
      </c>
      <c r="J26" s="113" t="str">
        <f>ROLL_Q!B69</f>
        <v>Implied S&amp;M Multiple on Customer Acquisition</v>
      </c>
      <c r="N26" s="133">
        <f>SAAS_M!L29</f>
        <v>4.0075479142847543</v>
      </c>
      <c r="O26" s="133">
        <f>SAAS_M!M29</f>
        <v>3.9976275345691925</v>
      </c>
      <c r="P26" s="133">
        <f>SAAS_M!N29</f>
        <v>3.7241522380667935</v>
      </c>
      <c r="Q26" s="133">
        <f>SAAS_M!O29</f>
        <v>3.5107868997709226</v>
      </c>
      <c r="R26" s="133">
        <f>SAAS_M!P29</f>
        <v>3.3405814959166289</v>
      </c>
      <c r="S26" s="133">
        <f>SAAS_M!Q29</f>
        <v>3.2024634514356598</v>
      </c>
      <c r="T26" s="133">
        <f>SAAS_M!R29</f>
        <v>3.0888693569392625</v>
      </c>
      <c r="U26" s="133">
        <f>SAAS_M!S29</f>
        <v>2.9944427070945006</v>
      </c>
      <c r="V26" s="133">
        <f>SAAS_M!T29</f>
        <v>2.9152750400339067</v>
      </c>
      <c r="W26" s="133">
        <f>SAAS_M!U29</f>
        <v>2.8484421628917564</v>
      </c>
      <c r="X26" s="133">
        <f>SAAS_M!V29</f>
        <v>2.7917092084980735</v>
      </c>
      <c r="Y26" s="133">
        <f>SAAS_M!W29</f>
        <v>2.7433366168728845</v>
      </c>
      <c r="Z26" s="69"/>
      <c r="AA26" s="133">
        <f>ROLL_Q!L69</f>
        <v>3.7241522380667935</v>
      </c>
      <c r="AB26" s="133">
        <f>ROLL_Q!M69</f>
        <v>3.2024634514356598</v>
      </c>
      <c r="AC26" s="133">
        <f>ROLL_Q!N69</f>
        <v>2.9152750400339067</v>
      </c>
      <c r="AD26" s="133">
        <f>ROLL_Q!O69</f>
        <v>2.7433366168728845</v>
      </c>
      <c r="AE26" s="69"/>
      <c r="AF26" s="118">
        <f t="shared" si="1"/>
        <v>2.7433366168728845</v>
      </c>
    </row>
    <row r="27" spans="1:32" x14ac:dyDescent="0.55000000000000004">
      <c r="B27" s="111"/>
      <c r="H27" s="117"/>
      <c r="J27" s="113" t="str">
        <f>ROLL_Q!B70</f>
        <v>GDR (%)</v>
      </c>
      <c r="N27" s="66">
        <f>SAAS_M!L38</f>
        <v>0.96580722891566262</v>
      </c>
      <c r="O27" s="66">
        <f>SAAS_M!M38</f>
        <v>0.96793291433611994</v>
      </c>
      <c r="P27" s="66">
        <f>SAAS_M!N38</f>
        <v>0.97007527039427655</v>
      </c>
      <c r="Q27" s="66">
        <f>SAAS_M!O38</f>
        <v>0.97176946842692302</v>
      </c>
      <c r="R27" s="66">
        <f>SAAS_M!P38</f>
        <v>0.97316009971758177</v>
      </c>
      <c r="S27" s="66">
        <f>SAAS_M!Q38</f>
        <v>0.97433455784237444</v>
      </c>
      <c r="T27" s="66">
        <f>SAAS_M!R38</f>
        <v>0.97534874870099053</v>
      </c>
      <c r="U27" s="66">
        <f>SAAS_M!S38</f>
        <v>0.97624008476899204</v>
      </c>
      <c r="V27" s="66">
        <f>SAAS_M!T38</f>
        <v>0.97703454190530103</v>
      </c>
      <c r="W27" s="66">
        <f>SAAS_M!U38</f>
        <v>0.97775071967023486</v>
      </c>
      <c r="X27" s="66">
        <f>SAAS_M!V38</f>
        <v>0.97840229120940858</v>
      </c>
      <c r="Y27" s="66">
        <f>SAAS_M!W38</f>
        <v>0.97899954138377487</v>
      </c>
      <c r="Z27" s="18"/>
      <c r="AA27" s="66">
        <f>ROLL_Q!L70</f>
        <v>0.97007527039427655</v>
      </c>
      <c r="AB27" s="66">
        <f>ROLL_Q!M70</f>
        <v>0.97433455784237444</v>
      </c>
      <c r="AC27" s="66">
        <f>ROLL_Q!N70</f>
        <v>0.97703454190530103</v>
      </c>
      <c r="AD27" s="66">
        <f>ROLL_Q!O70</f>
        <v>0.97899954138377487</v>
      </c>
      <c r="AE27" s="18"/>
      <c r="AF27" s="128">
        <f t="shared" si="1"/>
        <v>0.97899954138377487</v>
      </c>
    </row>
    <row r="28" spans="1:32" x14ac:dyDescent="0.55000000000000004">
      <c r="B28" s="111" t="s">
        <v>143</v>
      </c>
      <c r="H28" s="112">
        <f>Y52+H25</f>
        <v>95654.929640863411</v>
      </c>
      <c r="J28" s="113" t="str">
        <f>ROLL_Q!B71</f>
        <v>NDR (%)</v>
      </c>
      <c r="N28" s="66">
        <f>SAAS_M!L46</f>
        <v>0.96580722891566262</v>
      </c>
      <c r="O28" s="66">
        <f>SAAS_M!M46</f>
        <v>0.99266357330446453</v>
      </c>
      <c r="P28" s="66">
        <f>SAAS_M!N46</f>
        <v>0.99768205666252141</v>
      </c>
      <c r="Q28" s="66">
        <f>SAAS_M!O46</f>
        <v>1.0017888944987621</v>
      </c>
      <c r="R28" s="66">
        <f>SAAS_M!P46</f>
        <v>1.0052763274020031</v>
      </c>
      <c r="S28" s="66">
        <f>SAAS_M!Q46</f>
        <v>1.0083204859805543</v>
      </c>
      <c r="T28" s="66">
        <f>SAAS_M!R46</f>
        <v>1.0110336133678395</v>
      </c>
      <c r="U28" s="66">
        <f>SAAS_M!S46</f>
        <v>1.0134904625869277</v>
      </c>
      <c r="V28" s="66">
        <f>SAAS_M!T46</f>
        <v>1.0157426346191734</v>
      </c>
      <c r="W28" s="66">
        <f>SAAS_M!U46</f>
        <v>1.0178268298301019</v>
      </c>
      <c r="X28" s="66">
        <f>SAAS_M!V46</f>
        <v>1.0197698276319171</v>
      </c>
      <c r="Y28" s="66">
        <f>SAAS_M!W46</f>
        <v>1.0215916133180623</v>
      </c>
      <c r="Z28" s="18"/>
      <c r="AA28" s="66">
        <f>ROLL_Q!L71</f>
        <v>0.99768205666252141</v>
      </c>
      <c r="AB28" s="66">
        <f>ROLL_Q!M71</f>
        <v>1.0083204859805543</v>
      </c>
      <c r="AC28" s="66">
        <f>ROLL_Q!N71</f>
        <v>1.0157426346191734</v>
      </c>
      <c r="AD28" s="66">
        <f>ROLL_Q!O71</f>
        <v>1.0215916133180623</v>
      </c>
      <c r="AE28" s="18"/>
      <c r="AF28" s="128">
        <f t="shared" si="1"/>
        <v>1.0215916133180623</v>
      </c>
    </row>
    <row r="29" spans="1:32" x14ac:dyDescent="0.55000000000000004">
      <c r="B29" s="111" t="s">
        <v>144</v>
      </c>
      <c r="H29" s="112">
        <f>-SUM(N49:Y49)</f>
        <v>8644.5503751064971</v>
      </c>
      <c r="J29" s="113"/>
      <c r="AF29" s="117"/>
    </row>
    <row r="30" spans="1:32" x14ac:dyDescent="0.55000000000000004">
      <c r="B30" s="111" t="s">
        <v>131</v>
      </c>
      <c r="H30" s="118">
        <f>H19</f>
        <v>2.2714285714285714</v>
      </c>
      <c r="J30" s="104" t="s">
        <v>125</v>
      </c>
      <c r="K30" s="108"/>
      <c r="L30" s="108"/>
      <c r="M30" s="108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  <c r="AD30" s="109"/>
      <c r="AE30" s="109"/>
      <c r="AF30" s="110"/>
    </row>
    <row r="31" spans="1:32" x14ac:dyDescent="0.55000000000000004">
      <c r="B31" s="134" t="s">
        <v>145</v>
      </c>
      <c r="C31" s="43"/>
      <c r="D31" s="43"/>
      <c r="E31" s="43"/>
      <c r="F31" s="57"/>
      <c r="G31" s="43"/>
      <c r="H31" s="135">
        <f>H28/(H29*H30)</f>
        <v>4.8715354006719043</v>
      </c>
      <c r="J31" s="113"/>
      <c r="AF31" s="117"/>
    </row>
    <row r="32" spans="1:32" x14ac:dyDescent="0.55000000000000004">
      <c r="B32" s="111"/>
      <c r="H32" s="117"/>
      <c r="J32" s="119" t="s">
        <v>70</v>
      </c>
      <c r="AF32" s="117"/>
    </row>
    <row r="33" spans="1:32" x14ac:dyDescent="0.55000000000000004">
      <c r="B33" s="136" t="s">
        <v>115</v>
      </c>
      <c r="C33" s="137"/>
      <c r="D33" s="137"/>
      <c r="E33" s="138" t="s">
        <v>137</v>
      </c>
      <c r="F33" s="138" t="s">
        <v>117</v>
      </c>
      <c r="G33" s="138" t="s">
        <v>118</v>
      </c>
      <c r="H33" s="139" t="s">
        <v>127</v>
      </c>
      <c r="J33" s="113" t="str">
        <f>FIN_M!B15</f>
        <v>MRR</v>
      </c>
      <c r="N33" s="51">
        <f>FIN_M!L15</f>
        <v>498.80999999999995</v>
      </c>
      <c r="O33" s="51">
        <f>FIN_M!M15</f>
        <v>596.62551699999995</v>
      </c>
      <c r="P33" s="51">
        <f>FIN_M!N15</f>
        <v>700.40132285790003</v>
      </c>
      <c r="Q33" s="51">
        <f>FIN_M!O15</f>
        <v>810.71897443128614</v>
      </c>
      <c r="R33" s="51">
        <f>FIN_M!P15</f>
        <v>928.20382124640173</v>
      </c>
      <c r="S33" s="51">
        <f>FIN_M!Q15</f>
        <v>1053.5285546329296</v>
      </c>
      <c r="T33" s="51">
        <f>FIN_M!R15</f>
        <v>1187.4170234901155</v>
      </c>
      <c r="U33" s="51">
        <f>FIN_M!S15</f>
        <v>1330.6483370314786</v>
      </c>
      <c r="V33" s="51">
        <f>FIN_M!T15</f>
        <v>1484.0612763565628</v>
      </c>
      <c r="W33" s="51">
        <f>FIN_M!U15</f>
        <v>1648.5590383103586</v>
      </c>
      <c r="X33" s="51">
        <f>FIN_M!V15</f>
        <v>1825.1143368222313</v>
      </c>
      <c r="Y33" s="51">
        <f>FIN_M!W15</f>
        <v>2014.7748887750483</v>
      </c>
      <c r="AA33" s="51">
        <f>ROLL_Q!L15</f>
        <v>1795.8368398579</v>
      </c>
      <c r="AB33" s="51">
        <f>ROLL_Q!M15</f>
        <v>2792.4513503106173</v>
      </c>
      <c r="AC33" s="51">
        <f>ROLL_Q!N15</f>
        <v>4002.1266368781567</v>
      </c>
      <c r="AD33" s="51">
        <f>ROLL_Q!O15</f>
        <v>5488.4482639076386</v>
      </c>
      <c r="AF33" s="112">
        <f>SUM(AA33:AD33)</f>
        <v>14078.863090954314</v>
      </c>
    </row>
    <row r="34" spans="1:32" x14ac:dyDescent="0.55000000000000004">
      <c r="B34" s="111" t="s">
        <v>121</v>
      </c>
      <c r="E34" s="140">
        <f>INP!H67</f>
        <v>0.9</v>
      </c>
      <c r="F34" s="140">
        <f>INP!I67</f>
        <v>0.84375</v>
      </c>
      <c r="G34" s="140">
        <f>INP!J67</f>
        <v>0.74013157894736847</v>
      </c>
      <c r="H34" s="128">
        <f>G34/$G$39*(1-$H$24)</f>
        <v>0.62911184210526316</v>
      </c>
      <c r="J34" s="141" t="str">
        <f>FIN_M!B16</f>
        <v>% revenue growth</v>
      </c>
      <c r="N34" s="142"/>
      <c r="O34" s="143">
        <f>FIN_M!M16</f>
        <v>0.19609774663699597</v>
      </c>
      <c r="P34" s="143">
        <f>FIN_M!N16</f>
        <v>0.17393792739491576</v>
      </c>
      <c r="Q34" s="143">
        <f>FIN_M!O16</f>
        <v>0.15750634382477857</v>
      </c>
      <c r="R34" s="143">
        <f>FIN_M!P16</f>
        <v>0.14491439144807283</v>
      </c>
      <c r="S34" s="143">
        <f>FIN_M!Q16</f>
        <v>0.13501854928612622</v>
      </c>
      <c r="T34" s="143">
        <f>FIN_M!R16</f>
        <v>0.12708575222608487</v>
      </c>
      <c r="U34" s="143">
        <f>FIN_M!S16</f>
        <v>0.12062427159783384</v>
      </c>
      <c r="V34" s="143">
        <f>FIN_M!T16</f>
        <v>0.11529187318366207</v>
      </c>
      <c r="W34" s="143">
        <f>FIN_M!U16</f>
        <v>0.11084297163095935</v>
      </c>
      <c r="X34" s="143">
        <f>FIN_M!V16</f>
        <v>0.10709673988553536</v>
      </c>
      <c r="Y34" s="143">
        <f>FIN_M!W16</f>
        <v>0.10391707967350783</v>
      </c>
      <c r="Z34" s="54"/>
      <c r="AA34" s="144">
        <f>ROLL_Q!L16</f>
        <v>0</v>
      </c>
      <c r="AB34" s="143">
        <f>ROLL_Q!M16</f>
        <v>0.55495827256310037</v>
      </c>
      <c r="AC34" s="143">
        <f>ROLL_Q!N16</f>
        <v>0.43319475787214046</v>
      </c>
      <c r="AD34" s="143">
        <f>ROLL_Q!O16</f>
        <v>0.37138295758399131</v>
      </c>
      <c r="AE34" s="54"/>
      <c r="AF34" s="145"/>
    </row>
    <row r="35" spans="1:32" x14ac:dyDescent="0.55000000000000004">
      <c r="B35" s="111" t="s">
        <v>138</v>
      </c>
      <c r="E35" s="140">
        <f>INP!H68</f>
        <v>0.1</v>
      </c>
      <c r="F35" s="140">
        <f>INP!I68</f>
        <v>9.375E-2</v>
      </c>
      <c r="G35" s="140">
        <f>INP!J68</f>
        <v>8.2236842105263164E-2</v>
      </c>
      <c r="H35" s="128">
        <f>G35/$G$39*(1-$H$24)</f>
        <v>6.9901315789473686E-2</v>
      </c>
      <c r="J35" s="113" t="str">
        <f>FIN_M!B17</f>
        <v>Less: COGS</v>
      </c>
      <c r="N35" s="51">
        <f>FIN_M!L17</f>
        <v>-89.785799999999981</v>
      </c>
      <c r="O35" s="51">
        <f>FIN_M!M17</f>
        <v>-107.39259305999998</v>
      </c>
      <c r="P35" s="51">
        <f>FIN_M!N17</f>
        <v>-126.07223811442201</v>
      </c>
      <c r="Q35" s="51">
        <f>FIN_M!O17</f>
        <v>-145.92941539763149</v>
      </c>
      <c r="R35" s="51">
        <f>FIN_M!P17</f>
        <v>-167.07668782435232</v>
      </c>
      <c r="S35" s="51">
        <f>FIN_M!Q17</f>
        <v>-189.63513983392733</v>
      </c>
      <c r="T35" s="51">
        <f>FIN_M!R17</f>
        <v>-213.73506422822078</v>
      </c>
      <c r="U35" s="51">
        <f>FIN_M!S17</f>
        <v>-239.51670066566615</v>
      </c>
      <c r="V35" s="51">
        <f>FIN_M!T17</f>
        <v>-267.13102974418126</v>
      </c>
      <c r="W35" s="51">
        <f>FIN_M!U17</f>
        <v>-296.74062689586452</v>
      </c>
      <c r="X35" s="51">
        <f>FIN_M!V17</f>
        <v>-328.5205806280016</v>
      </c>
      <c r="Y35" s="51">
        <f>FIN_M!W17</f>
        <v>-362.65947997950866</v>
      </c>
      <c r="AA35" s="51">
        <f>ROLL_Q!L17</f>
        <v>-323.25063117442198</v>
      </c>
      <c r="AB35" s="51">
        <f>ROLL_Q!M17</f>
        <v>-502.64124305591116</v>
      </c>
      <c r="AC35" s="51">
        <f>ROLL_Q!N17</f>
        <v>-720.38279463806816</v>
      </c>
      <c r="AD35" s="51">
        <f>ROLL_Q!O17</f>
        <v>-987.92068750337478</v>
      </c>
      <c r="AF35" s="112">
        <f>SUM(AA35:AD35)</f>
        <v>-2534.1953563717761</v>
      </c>
    </row>
    <row r="36" spans="1:32" x14ac:dyDescent="0.55000000000000004">
      <c r="B36" s="111" t="s">
        <v>128</v>
      </c>
      <c r="E36" s="140">
        <f>INP!H69</f>
        <v>0</v>
      </c>
      <c r="F36" s="140">
        <f>INP!I69</f>
        <v>6.25E-2</v>
      </c>
      <c r="G36" s="140">
        <f>INP!J69</f>
        <v>5.4824561403508776E-2</v>
      </c>
      <c r="H36" s="128">
        <f>G36/$G$39*(1-$H$24)</f>
        <v>4.6600877192982455E-2</v>
      </c>
      <c r="J36" s="146" t="str">
        <f>FIN_M!B18</f>
        <v>Gross Profit</v>
      </c>
      <c r="K36" s="28"/>
      <c r="L36" s="28"/>
      <c r="M36" s="28"/>
      <c r="N36" s="147">
        <f>FIN_M!L18</f>
        <v>409.02419999999995</v>
      </c>
      <c r="O36" s="147">
        <f>FIN_M!M18</f>
        <v>489.23292393999998</v>
      </c>
      <c r="P36" s="147">
        <f>FIN_M!N18</f>
        <v>574.32908474347801</v>
      </c>
      <c r="Q36" s="147">
        <f>FIN_M!O18</f>
        <v>664.78955903365465</v>
      </c>
      <c r="R36" s="147">
        <f>FIN_M!P18</f>
        <v>761.12713342204938</v>
      </c>
      <c r="S36" s="147">
        <f>FIN_M!Q18</f>
        <v>863.89341479900236</v>
      </c>
      <c r="T36" s="147">
        <f>FIN_M!R18</f>
        <v>973.68195926189469</v>
      </c>
      <c r="U36" s="147">
        <f>FIN_M!S18</f>
        <v>1091.1316363658125</v>
      </c>
      <c r="V36" s="147">
        <f>FIN_M!T18</f>
        <v>1216.9302466123816</v>
      </c>
      <c r="W36" s="147">
        <f>FIN_M!U18</f>
        <v>1351.818411414494</v>
      </c>
      <c r="X36" s="147">
        <f>FIN_M!V18</f>
        <v>1496.5937561942296</v>
      </c>
      <c r="Y36" s="147">
        <f>FIN_M!W18</f>
        <v>1652.1154087955397</v>
      </c>
      <c r="Z36" s="28"/>
      <c r="AA36" s="147">
        <f>ROLL_Q!L18</f>
        <v>1472.5862086834782</v>
      </c>
      <c r="AB36" s="147">
        <f>ROLL_Q!M18</f>
        <v>2289.8101072547061</v>
      </c>
      <c r="AC36" s="147">
        <f>ROLL_Q!N18</f>
        <v>3281.7438422400883</v>
      </c>
      <c r="AD36" s="147">
        <f>ROLL_Q!O18</f>
        <v>4500.5275764042635</v>
      </c>
      <c r="AE36" s="28"/>
      <c r="AF36" s="116">
        <f>SUM(AA36:AD36)</f>
        <v>11544.667734582536</v>
      </c>
    </row>
    <row r="37" spans="1:32" x14ac:dyDescent="0.55000000000000004">
      <c r="B37" s="111" t="s">
        <v>129</v>
      </c>
      <c r="E37" s="140">
        <f>INP!H70</f>
        <v>0</v>
      </c>
      <c r="F37" s="140">
        <f>INP!I70</f>
        <v>0</v>
      </c>
      <c r="G37" s="140">
        <f>INP!J70</f>
        <v>0.12280701754385964</v>
      </c>
      <c r="H37" s="128">
        <f>G37/$G$39*(1-$H$24)</f>
        <v>0.10438596491228069</v>
      </c>
      <c r="J37" s="141" t="str">
        <f>FIN_M!B19</f>
        <v>% gross margin</v>
      </c>
      <c r="N37" s="143">
        <f>FIN_M!L19</f>
        <v>0.82</v>
      </c>
      <c r="O37" s="143">
        <f>FIN_M!M19</f>
        <v>0.82000000000000006</v>
      </c>
      <c r="P37" s="143">
        <f>FIN_M!N19</f>
        <v>0.82</v>
      </c>
      <c r="Q37" s="143">
        <f>FIN_M!O19</f>
        <v>0.82000000000000006</v>
      </c>
      <c r="R37" s="143">
        <f>FIN_M!P19</f>
        <v>0.82</v>
      </c>
      <c r="S37" s="143">
        <f>FIN_M!Q19</f>
        <v>0.82000000000000006</v>
      </c>
      <c r="T37" s="143">
        <f>FIN_M!R19</f>
        <v>0.82</v>
      </c>
      <c r="U37" s="143">
        <f>FIN_M!S19</f>
        <v>0.82000000000000006</v>
      </c>
      <c r="V37" s="143">
        <f>FIN_M!T19</f>
        <v>0.82000000000000006</v>
      </c>
      <c r="W37" s="143">
        <f>FIN_M!U19</f>
        <v>0.82</v>
      </c>
      <c r="X37" s="143">
        <f>FIN_M!V19</f>
        <v>0.82</v>
      </c>
      <c r="Y37" s="143">
        <f>FIN_M!W19</f>
        <v>0.82000000000000006</v>
      </c>
      <c r="Z37" s="56"/>
      <c r="AA37" s="143">
        <f>ROLL_Q!L19</f>
        <v>0.82000000000000006</v>
      </c>
      <c r="AB37" s="143">
        <f>ROLL_Q!M19</f>
        <v>0.82</v>
      </c>
      <c r="AC37" s="143">
        <f>ROLL_Q!N19</f>
        <v>0.82</v>
      </c>
      <c r="AD37" s="143">
        <f>ROLL_Q!O19</f>
        <v>0.82</v>
      </c>
      <c r="AE37" s="56"/>
      <c r="AF37" s="145"/>
    </row>
    <row r="38" spans="1:32" x14ac:dyDescent="0.55000000000000004">
      <c r="B38" s="111" t="s">
        <v>130</v>
      </c>
      <c r="E38" s="140">
        <f>INP!H71</f>
        <v>0</v>
      </c>
      <c r="F38" s="140">
        <f>INP!I71</f>
        <v>0</v>
      </c>
      <c r="G38" s="140">
        <f>INP!J71</f>
        <v>0</v>
      </c>
      <c r="H38" s="128">
        <f>H24</f>
        <v>0.15</v>
      </c>
      <c r="J38" s="113" t="str">
        <f>FIN_M!B20</f>
        <v>Less: Sales &amp; Marketing</v>
      </c>
      <c r="N38" s="51">
        <f>FIN_M!L20</f>
        <v>-448.92899999999997</v>
      </c>
      <c r="O38" s="51">
        <f>FIN_M!M20</f>
        <v>-536.96296529999995</v>
      </c>
      <c r="P38" s="51">
        <f>FIN_M!N20</f>
        <v>-630.36119057210999</v>
      </c>
      <c r="Q38" s="51">
        <f>FIN_M!O20</f>
        <v>-729.64707698815755</v>
      </c>
      <c r="R38" s="51">
        <f>FIN_M!P20</f>
        <v>-835.38343912176163</v>
      </c>
      <c r="S38" s="51">
        <f>FIN_M!Q20</f>
        <v>-948.17569916963669</v>
      </c>
      <c r="T38" s="51">
        <f>FIN_M!R20</f>
        <v>-1068.675321141104</v>
      </c>
      <c r="U38" s="51">
        <f>FIN_M!S20</f>
        <v>-1197.5835033283308</v>
      </c>
      <c r="V38" s="51">
        <f>FIN_M!T20</f>
        <v>-1335.6551487209065</v>
      </c>
      <c r="W38" s="51">
        <f>FIN_M!U20</f>
        <v>-1483.7031344793227</v>
      </c>
      <c r="X38" s="51">
        <f>FIN_M!V20</f>
        <v>-1642.6029031400083</v>
      </c>
      <c r="Y38" s="51">
        <f>FIN_M!W20</f>
        <v>-1813.2973998975435</v>
      </c>
      <c r="AA38" s="51">
        <f>ROLL_Q!L20</f>
        <v>-1616.2531558721098</v>
      </c>
      <c r="AB38" s="51">
        <f>ROLL_Q!M20</f>
        <v>-2513.2062152795556</v>
      </c>
      <c r="AC38" s="51">
        <f>ROLL_Q!N20</f>
        <v>-3601.9139731903415</v>
      </c>
      <c r="AD38" s="51">
        <f>ROLL_Q!O20</f>
        <v>-4939.6034375168747</v>
      </c>
      <c r="AF38" s="112">
        <f t="shared" ref="AF38:AF41" si="2">SUM(AA38:AD38)</f>
        <v>-12670.976781858881</v>
      </c>
    </row>
    <row r="39" spans="1:32" x14ac:dyDescent="0.55000000000000004">
      <c r="B39" s="134" t="s">
        <v>5</v>
      </c>
      <c r="C39" s="43"/>
      <c r="D39" s="43"/>
      <c r="E39" s="45">
        <f>SUM(E34:E38)</f>
        <v>1</v>
      </c>
      <c r="F39" s="45">
        <f t="shared" ref="F39:H39" si="3">SUM(F34:F38)</f>
        <v>1</v>
      </c>
      <c r="G39" s="45">
        <f t="shared" si="3"/>
        <v>1</v>
      </c>
      <c r="H39" s="148">
        <f t="shared" si="3"/>
        <v>1</v>
      </c>
      <c r="J39" s="113" t="str">
        <f>FIN_M!B21</f>
        <v>Less: Product &amp; Engineering</v>
      </c>
      <c r="N39" s="51">
        <f>FIN_M!L21</f>
        <v>-199.524</v>
      </c>
      <c r="O39" s="51">
        <f>FIN_M!M21</f>
        <v>-238.65020679999998</v>
      </c>
      <c r="P39" s="51">
        <f>FIN_M!N21</f>
        <v>-280.16052914316003</v>
      </c>
      <c r="Q39" s="51">
        <f>FIN_M!O21</f>
        <v>-324.28758977251448</v>
      </c>
      <c r="R39" s="51">
        <f>FIN_M!P21</f>
        <v>-371.2815284985607</v>
      </c>
      <c r="S39" s="51">
        <f>FIN_M!Q21</f>
        <v>-421.41142185317187</v>
      </c>
      <c r="T39" s="51">
        <f>FIN_M!R21</f>
        <v>-474.96680939604624</v>
      </c>
      <c r="U39" s="51">
        <f>FIN_M!S21</f>
        <v>-532.25933481259142</v>
      </c>
      <c r="V39" s="51">
        <f>FIN_M!T21</f>
        <v>-593.6245105426251</v>
      </c>
      <c r="W39" s="51">
        <f>FIN_M!U21</f>
        <v>-659.4236153241435</v>
      </c>
      <c r="X39" s="51">
        <f>FIN_M!V21</f>
        <v>-730.04573472889251</v>
      </c>
      <c r="Y39" s="51">
        <f>FIN_M!W21</f>
        <v>-805.90995551001936</v>
      </c>
      <c r="AA39" s="51">
        <f>ROLL_Q!L21</f>
        <v>-718.33473594316001</v>
      </c>
      <c r="AB39" s="51">
        <f>ROLL_Q!M21</f>
        <v>-1116.980540124247</v>
      </c>
      <c r="AC39" s="51">
        <f>ROLL_Q!N21</f>
        <v>-1600.8506547512627</v>
      </c>
      <c r="AD39" s="51">
        <f>ROLL_Q!O21</f>
        <v>-2195.3793055630554</v>
      </c>
      <c r="AF39" s="112">
        <f t="shared" si="2"/>
        <v>-5631.5452363817258</v>
      </c>
    </row>
    <row r="40" spans="1:32" x14ac:dyDescent="0.55000000000000004">
      <c r="B40" s="111" t="s">
        <v>142</v>
      </c>
      <c r="E40" s="142"/>
      <c r="F40" s="149">
        <f>INP!I61</f>
        <v>15</v>
      </c>
      <c r="G40" s="149">
        <f>INP!J61</f>
        <v>250</v>
      </c>
      <c r="H40" s="150">
        <f>H26/10^3</f>
        <v>495.32986677313284</v>
      </c>
      <c r="J40" s="113" t="str">
        <f>FIN_M!B22</f>
        <v>Less: G&amp;A</v>
      </c>
      <c r="N40" s="51">
        <f>FIN_M!L22</f>
        <v>-49.881</v>
      </c>
      <c r="O40" s="51">
        <f>FIN_M!M22</f>
        <v>-59.662551699999995</v>
      </c>
      <c r="P40" s="51">
        <f>FIN_M!N22</f>
        <v>-70.040132285790008</v>
      </c>
      <c r="Q40" s="51">
        <f>FIN_M!O22</f>
        <v>-81.07189744312862</v>
      </c>
      <c r="R40" s="51">
        <f>FIN_M!P22</f>
        <v>-92.820382124640176</v>
      </c>
      <c r="S40" s="51">
        <f>FIN_M!Q22</f>
        <v>-105.35285546329297</v>
      </c>
      <c r="T40" s="51">
        <f>FIN_M!R22</f>
        <v>-118.74170234901156</v>
      </c>
      <c r="U40" s="51">
        <f>FIN_M!S22</f>
        <v>-133.06483370314785</v>
      </c>
      <c r="V40" s="51">
        <f>FIN_M!T22</f>
        <v>-148.40612763565628</v>
      </c>
      <c r="W40" s="51">
        <f>FIN_M!U22</f>
        <v>-164.85590383103587</v>
      </c>
      <c r="X40" s="51">
        <f>FIN_M!V22</f>
        <v>-182.51143368222313</v>
      </c>
      <c r="Y40" s="51">
        <f>FIN_M!W22</f>
        <v>-201.47748887750484</v>
      </c>
      <c r="AA40" s="51">
        <f>ROLL_Q!L22</f>
        <v>-179.58368398579</v>
      </c>
      <c r="AB40" s="51">
        <f>ROLL_Q!M22</f>
        <v>-279.24513503106175</v>
      </c>
      <c r="AC40" s="51">
        <f>ROLL_Q!N22</f>
        <v>-400.21266368781568</v>
      </c>
      <c r="AD40" s="51">
        <f>ROLL_Q!O22</f>
        <v>-548.84482639076384</v>
      </c>
      <c r="AF40" s="112">
        <f t="shared" si="2"/>
        <v>-1407.8863090954314</v>
      </c>
    </row>
    <row r="41" spans="1:32" x14ac:dyDescent="0.55000000000000004">
      <c r="B41" s="111"/>
      <c r="H41" s="117"/>
      <c r="J41" s="151" t="str">
        <f>FIN_M!B23</f>
        <v>EBITDA</v>
      </c>
      <c r="K41" s="125"/>
      <c r="L41" s="125"/>
      <c r="M41" s="125"/>
      <c r="N41" s="152">
        <f>FIN_M!L23</f>
        <v>-289.3098</v>
      </c>
      <c r="O41" s="152">
        <f>FIN_M!M23</f>
        <v>-346.04279985999995</v>
      </c>
      <c r="P41" s="152">
        <f>FIN_M!N23</f>
        <v>-406.23276725758205</v>
      </c>
      <c r="Q41" s="152">
        <f>FIN_M!O23</f>
        <v>-470.21700517014585</v>
      </c>
      <c r="R41" s="152">
        <f>FIN_M!P23</f>
        <v>-538.35821632291322</v>
      </c>
      <c r="S41" s="152">
        <f>FIN_M!Q23</f>
        <v>-611.04656168709926</v>
      </c>
      <c r="T41" s="152">
        <f>FIN_M!R23</f>
        <v>-688.70187362426714</v>
      </c>
      <c r="U41" s="152">
        <f>FIN_M!S23</f>
        <v>-771.77603547825743</v>
      </c>
      <c r="V41" s="152">
        <f>FIN_M!T23</f>
        <v>-860.75554028680631</v>
      </c>
      <c r="W41" s="152">
        <f>FIN_M!U23</f>
        <v>-956.16424222000819</v>
      </c>
      <c r="X41" s="152">
        <f>FIN_M!V23</f>
        <v>-1058.5663153568939</v>
      </c>
      <c r="Y41" s="152">
        <f>FIN_M!W23</f>
        <v>-1168.5694354895281</v>
      </c>
      <c r="Z41" s="125"/>
      <c r="AA41" s="152">
        <f>ROLL_Q!L23</f>
        <v>-1041.5853671175814</v>
      </c>
      <c r="AB41" s="152">
        <f>ROLL_Q!M23</f>
        <v>-1619.6217831801582</v>
      </c>
      <c r="AC41" s="152">
        <f>ROLL_Q!N23</f>
        <v>-2321.2334493893313</v>
      </c>
      <c r="AD41" s="152">
        <f>ROLL_Q!O23</f>
        <v>-3183.2999930664309</v>
      </c>
      <c r="AE41" s="125"/>
      <c r="AF41" s="127">
        <f t="shared" si="2"/>
        <v>-8165.7405927535019</v>
      </c>
    </row>
    <row r="42" spans="1:32" x14ac:dyDescent="0.55000000000000004">
      <c r="B42" s="136" t="s">
        <v>141</v>
      </c>
      <c r="C42" s="137"/>
      <c r="D42" s="137"/>
      <c r="E42" s="138" t="s">
        <v>137</v>
      </c>
      <c r="F42" s="138" t="s">
        <v>117</v>
      </c>
      <c r="G42" s="138" t="s">
        <v>118</v>
      </c>
      <c r="H42" s="139" t="s">
        <v>127</v>
      </c>
      <c r="J42" s="141" t="str">
        <f>FIN_M!B24</f>
        <v>% EBITDA margin</v>
      </c>
      <c r="K42" s="54"/>
      <c r="L42" s="54"/>
      <c r="M42" s="54"/>
      <c r="N42" s="143">
        <f>FIN_M!L24</f>
        <v>-0.58000000000000007</v>
      </c>
      <c r="O42" s="143">
        <f>FIN_M!M24</f>
        <v>-0.57999999999999996</v>
      </c>
      <c r="P42" s="143">
        <f>FIN_M!N24</f>
        <v>-0.58000000000000007</v>
      </c>
      <c r="Q42" s="143">
        <f>FIN_M!O24</f>
        <v>-0.57999999999999985</v>
      </c>
      <c r="R42" s="143">
        <f>FIN_M!P24</f>
        <v>-0.58000000000000018</v>
      </c>
      <c r="S42" s="143">
        <f>FIN_M!Q24</f>
        <v>-0.58000000000000007</v>
      </c>
      <c r="T42" s="143">
        <f>FIN_M!R24</f>
        <v>-0.58000000000000007</v>
      </c>
      <c r="U42" s="143">
        <f>FIN_M!S24</f>
        <v>-0.57999999999999985</v>
      </c>
      <c r="V42" s="143">
        <f>FIN_M!T24</f>
        <v>-0.57999999999999996</v>
      </c>
      <c r="W42" s="143">
        <f>FIN_M!U24</f>
        <v>-0.58000000000000018</v>
      </c>
      <c r="X42" s="143">
        <f>FIN_M!V24</f>
        <v>-0.57999999999999985</v>
      </c>
      <c r="Y42" s="143">
        <f>FIN_M!W24</f>
        <v>-0.58000000000000007</v>
      </c>
      <c r="Z42" s="54"/>
      <c r="AA42" s="143">
        <f>ROLL_Q!L24</f>
        <v>-0.57999999999999963</v>
      </c>
      <c r="AB42" s="143">
        <f>ROLL_Q!M24</f>
        <v>-0.58000000000000007</v>
      </c>
      <c r="AC42" s="143">
        <f>ROLL_Q!N24</f>
        <v>-0.58000000000000007</v>
      </c>
      <c r="AD42" s="143">
        <f>ROLL_Q!O24</f>
        <v>-0.58000000000000007</v>
      </c>
      <c r="AE42" s="54"/>
      <c r="AF42" s="128">
        <f>AF41/AF33</f>
        <v>-0.57999999999999996</v>
      </c>
    </row>
    <row r="43" spans="1:32" x14ac:dyDescent="0.55000000000000004">
      <c r="B43" s="111" t="s">
        <v>121</v>
      </c>
      <c r="E43" s="142"/>
      <c r="F43" s="153">
        <f t="shared" ref="F43:H47" si="4">F$40*F34</f>
        <v>12.65625</v>
      </c>
      <c r="G43" s="153">
        <f t="shared" si="4"/>
        <v>185.03289473684211</v>
      </c>
      <c r="H43" s="150">
        <f t="shared" si="4"/>
        <v>311.61788493540018</v>
      </c>
      <c r="J43" s="113"/>
      <c r="AF43" s="117"/>
    </row>
    <row r="44" spans="1:32" x14ac:dyDescent="0.55000000000000004">
      <c r="B44" s="111" t="s">
        <v>138</v>
      </c>
      <c r="E44" s="142"/>
      <c r="F44" s="153">
        <f t="shared" si="4"/>
        <v>1.40625</v>
      </c>
      <c r="G44" s="153">
        <f t="shared" si="4"/>
        <v>20.559210526315791</v>
      </c>
      <c r="H44" s="150">
        <f t="shared" si="4"/>
        <v>34.624209437266686</v>
      </c>
      <c r="J44" s="119" t="str">
        <f>FIN_M!B32</f>
        <v>CASH FLOW STATEMENT</v>
      </c>
      <c r="AF44" s="117"/>
    </row>
    <row r="45" spans="1:32" x14ac:dyDescent="0.55000000000000004">
      <c r="B45" s="111" t="s">
        <v>128</v>
      </c>
      <c r="E45" s="142"/>
      <c r="F45" s="153">
        <f t="shared" si="4"/>
        <v>0.9375</v>
      </c>
      <c r="G45" s="153">
        <f t="shared" si="4"/>
        <v>13.706140350877194</v>
      </c>
      <c r="H45" s="150">
        <f t="shared" si="4"/>
        <v>23.082806291511123</v>
      </c>
      <c r="J45" s="113" t="str">
        <f>FIN_M!B34</f>
        <v>EBITDA</v>
      </c>
      <c r="N45" s="51">
        <f>FIN_M!L34</f>
        <v>-289.3098</v>
      </c>
      <c r="O45" s="51">
        <f>FIN_M!M34</f>
        <v>-346.04279985999995</v>
      </c>
      <c r="P45" s="51">
        <f>FIN_M!N34</f>
        <v>-406.23276725758205</v>
      </c>
      <c r="Q45" s="51">
        <f>FIN_M!O34</f>
        <v>-470.21700517014585</v>
      </c>
      <c r="R45" s="51">
        <f>FIN_M!P34</f>
        <v>-538.35821632291322</v>
      </c>
      <c r="S45" s="51">
        <f>FIN_M!Q34</f>
        <v>-611.04656168709926</v>
      </c>
      <c r="T45" s="51">
        <f>FIN_M!R34</f>
        <v>-688.70187362426714</v>
      </c>
      <c r="U45" s="51">
        <f>FIN_M!S34</f>
        <v>-771.77603547825743</v>
      </c>
      <c r="V45" s="51">
        <f>FIN_M!T34</f>
        <v>-860.75554028680631</v>
      </c>
      <c r="W45" s="51">
        <f>FIN_M!U34</f>
        <v>-956.16424222000819</v>
      </c>
      <c r="X45" s="51">
        <f>FIN_M!V34</f>
        <v>-1058.5663153568939</v>
      </c>
      <c r="Y45" s="51">
        <f>FIN_M!W34</f>
        <v>-1168.5694354895281</v>
      </c>
      <c r="AA45" s="51">
        <f>ROLL_Q!L34</f>
        <v>-1041.5853671175814</v>
      </c>
      <c r="AB45" s="51">
        <f>ROLL_Q!M34</f>
        <v>-1619.6217831801582</v>
      </c>
      <c r="AC45" s="51">
        <f>ROLL_Q!N34</f>
        <v>-2321.2334493893313</v>
      </c>
      <c r="AD45" s="51">
        <f>ROLL_Q!O34</f>
        <v>-3183.2999930664309</v>
      </c>
      <c r="AF45" s="112">
        <f t="shared" ref="AF45:AF49" si="5">SUM(AA45:AD45)</f>
        <v>-8165.7405927535019</v>
      </c>
    </row>
    <row r="46" spans="1:32" x14ac:dyDescent="0.55000000000000004">
      <c r="B46" s="111" t="s">
        <v>129</v>
      </c>
      <c r="E46" s="142"/>
      <c r="F46" s="153">
        <f t="shared" si="4"/>
        <v>0</v>
      </c>
      <c r="G46" s="153">
        <f t="shared" si="4"/>
        <v>30.701754385964911</v>
      </c>
      <c r="H46" s="150">
        <f t="shared" si="4"/>
        <v>51.705486092984913</v>
      </c>
      <c r="J46" s="113" t="str">
        <f>FIN_M!B35</f>
        <v>Less: Capex</v>
      </c>
      <c r="N46" s="51">
        <f>FIN_M!L35</f>
        <v>-9.9761999999999986</v>
      </c>
      <c r="O46" s="51">
        <f>FIN_M!M35</f>
        <v>-11.932510339999999</v>
      </c>
      <c r="P46" s="51">
        <f>FIN_M!N35</f>
        <v>-14.008026457158001</v>
      </c>
      <c r="Q46" s="51">
        <f>FIN_M!O35</f>
        <v>-16.214379488625724</v>
      </c>
      <c r="R46" s="51">
        <f>FIN_M!P35</f>
        <v>-18.564076424928036</v>
      </c>
      <c r="S46" s="51">
        <f>FIN_M!Q35</f>
        <v>-21.070571092658593</v>
      </c>
      <c r="T46" s="51">
        <f>FIN_M!R35</f>
        <v>-23.748340469802312</v>
      </c>
      <c r="U46" s="51">
        <f>FIN_M!S35</f>
        <v>-26.612966740629574</v>
      </c>
      <c r="V46" s="51">
        <f>FIN_M!T35</f>
        <v>-29.681225527131257</v>
      </c>
      <c r="W46" s="51">
        <f>FIN_M!U35</f>
        <v>-32.971180766207169</v>
      </c>
      <c r="X46" s="51">
        <f>FIN_M!V35</f>
        <v>-36.502286736444624</v>
      </c>
      <c r="Y46" s="51">
        <f>FIN_M!W35</f>
        <v>-40.295497775500969</v>
      </c>
      <c r="AA46" s="51">
        <f>ROLL_Q!L35</f>
        <v>-35.916736797158002</v>
      </c>
      <c r="AB46" s="51">
        <f>ROLL_Q!M35</f>
        <v>-55.849027006212353</v>
      </c>
      <c r="AC46" s="51">
        <f>ROLL_Q!N35</f>
        <v>-80.04253273756315</v>
      </c>
      <c r="AD46" s="51">
        <f>ROLL_Q!O35</f>
        <v>-109.76896527815276</v>
      </c>
      <c r="AF46" s="112">
        <f t="shared" si="5"/>
        <v>-281.57726181908629</v>
      </c>
    </row>
    <row r="47" spans="1:32" ht="14.4" x14ac:dyDescent="0.55000000000000004">
      <c r="A47" s="167"/>
      <c r="B47" s="170" t="s">
        <v>130</v>
      </c>
      <c r="E47" s="142"/>
      <c r="F47" s="153">
        <f t="shared" si="4"/>
        <v>0</v>
      </c>
      <c r="G47" s="153">
        <f t="shared" si="4"/>
        <v>0</v>
      </c>
      <c r="H47" s="150">
        <f t="shared" si="4"/>
        <v>74.29948001596992</v>
      </c>
      <c r="I47" s="6"/>
      <c r="J47" s="113" t="str">
        <f>FIN_M!B36</f>
        <v>Less: Change in Net Working Capital</v>
      </c>
      <c r="N47" s="51">
        <f>FIN_M!L36</f>
        <v>-10.332739726027389</v>
      </c>
      <c r="O47" s="51">
        <f>FIN_M!M36</f>
        <v>-12.059447301369863</v>
      </c>
      <c r="P47" s="51">
        <f>FIN_M!N36</f>
        <v>-12.794277434535626</v>
      </c>
      <c r="Q47" s="51">
        <f>FIN_M!O36</f>
        <v>-13.600806358362671</v>
      </c>
      <c r="R47" s="51">
        <f>FIN_M!P36</f>
        <v>-14.484433168986852</v>
      </c>
      <c r="S47" s="51">
        <f>FIN_M!Q36</f>
        <v>-15.450994527106179</v>
      </c>
      <c r="T47" s="51">
        <f>FIN_M!R36</f>
        <v>-16.506797530337987</v>
      </c>
      <c r="U47" s="51">
        <f>FIN_M!S36</f>
        <v>-17.658655094140652</v>
      </c>
      <c r="V47" s="51">
        <f>FIN_M!T36</f>
        <v>-18.913924026380236</v>
      </c>
      <c r="W47" s="51">
        <f>FIN_M!U36</f>
        <v>-20.280545994303594</v>
      </c>
      <c r="X47" s="51">
        <f>FIN_M!V36</f>
        <v>-21.767091597354167</v>
      </c>
      <c r="Y47" s="51">
        <f>FIN_M!W36</f>
        <v>-23.382807775004842</v>
      </c>
      <c r="AA47" s="51">
        <f>ROLL_Q!L36</f>
        <v>-35.186464461932879</v>
      </c>
      <c r="AB47" s="51">
        <f>ROLL_Q!M36</f>
        <v>-43.536234054455704</v>
      </c>
      <c r="AC47" s="51">
        <f>ROLL_Q!N36</f>
        <v>-53.079376650858876</v>
      </c>
      <c r="AD47" s="51">
        <f>ROLL_Q!O36</f>
        <v>-65.43044536666261</v>
      </c>
      <c r="AF47" s="112">
        <f t="shared" si="5"/>
        <v>-197.23252053391008</v>
      </c>
    </row>
    <row r="48" spans="1:32" x14ac:dyDescent="0.55000000000000004">
      <c r="B48" s="154" t="s">
        <v>5</v>
      </c>
      <c r="C48" s="155"/>
      <c r="D48" s="155"/>
      <c r="E48" s="156"/>
      <c r="F48" s="157">
        <f>SUM(F43:F47)</f>
        <v>15</v>
      </c>
      <c r="G48" s="157">
        <f t="shared" ref="G48:H48" si="6">SUM(G43:G47)</f>
        <v>250</v>
      </c>
      <c r="H48" s="158">
        <f t="shared" si="6"/>
        <v>495.32986677313284</v>
      </c>
      <c r="I48" s="6"/>
      <c r="J48" s="113" t="str">
        <f>FIN_M!B37</f>
        <v>Less: Cash Taxes Paid</v>
      </c>
      <c r="N48" s="51">
        <f>FIN_M!L37</f>
        <v>0</v>
      </c>
      <c r="O48" s="51">
        <f>FIN_M!M37</f>
        <v>0</v>
      </c>
      <c r="P48" s="51">
        <f>FIN_M!N37</f>
        <v>0</v>
      </c>
      <c r="Q48" s="51">
        <f>FIN_M!O37</f>
        <v>0</v>
      </c>
      <c r="R48" s="51">
        <f>FIN_M!P37</f>
        <v>0</v>
      </c>
      <c r="S48" s="51">
        <f>FIN_M!Q37</f>
        <v>0</v>
      </c>
      <c r="T48" s="51">
        <f>FIN_M!R37</f>
        <v>0</v>
      </c>
      <c r="U48" s="51">
        <f>FIN_M!S37</f>
        <v>0</v>
      </c>
      <c r="V48" s="51">
        <f>FIN_M!T37</f>
        <v>0</v>
      </c>
      <c r="W48" s="51">
        <f>FIN_M!U37</f>
        <v>0</v>
      </c>
      <c r="X48" s="51">
        <f>FIN_M!V37</f>
        <v>0</v>
      </c>
      <c r="Y48" s="51">
        <f>FIN_M!W37</f>
        <v>0</v>
      </c>
      <c r="AA48" s="51">
        <f>ROLL_Q!L37</f>
        <v>0</v>
      </c>
      <c r="AB48" s="51">
        <f>ROLL_Q!M37</f>
        <v>0</v>
      </c>
      <c r="AC48" s="51">
        <f>ROLL_Q!N37</f>
        <v>0</v>
      </c>
      <c r="AD48" s="51">
        <f>ROLL_Q!O37</f>
        <v>0</v>
      </c>
      <c r="AF48" s="112">
        <f t="shared" si="5"/>
        <v>0</v>
      </c>
    </row>
    <row r="49" spans="1:32" x14ac:dyDescent="0.55000000000000004">
      <c r="B49" s="6"/>
      <c r="C49" s="6"/>
      <c r="D49" s="6"/>
      <c r="E49" s="6"/>
      <c r="F49" s="6"/>
      <c r="G49" s="6"/>
      <c r="H49" s="6"/>
      <c r="I49" s="6"/>
      <c r="J49" s="151" t="str">
        <f>FIN_M!B38</f>
        <v>CASH (BURN) / ACCRUAL</v>
      </c>
      <c r="K49" s="125"/>
      <c r="L49" s="125"/>
      <c r="M49" s="125"/>
      <c r="N49" s="152">
        <f>FIN_M!L38</f>
        <v>-309.6187397260274</v>
      </c>
      <c r="O49" s="152">
        <f>FIN_M!M38</f>
        <v>-370.03475750136982</v>
      </c>
      <c r="P49" s="152">
        <f>FIN_M!N38</f>
        <v>-433.03507114927567</v>
      </c>
      <c r="Q49" s="152">
        <f>FIN_M!O38</f>
        <v>-500.03219101713421</v>
      </c>
      <c r="R49" s="152">
        <f>FIN_M!P38</f>
        <v>-571.40672591682812</v>
      </c>
      <c r="S49" s="152">
        <f>FIN_M!Q38</f>
        <v>-647.56812730686408</v>
      </c>
      <c r="T49" s="152">
        <f>FIN_M!R38</f>
        <v>-728.95701162440741</v>
      </c>
      <c r="U49" s="152">
        <f>FIN_M!S38</f>
        <v>-816.04765731302757</v>
      </c>
      <c r="V49" s="152">
        <f>FIN_M!T38</f>
        <v>-909.35068984031773</v>
      </c>
      <c r="W49" s="152">
        <f>FIN_M!U38</f>
        <v>-1009.415968980519</v>
      </c>
      <c r="X49" s="152">
        <f>FIN_M!V38</f>
        <v>-1116.8356936906928</v>
      </c>
      <c r="Y49" s="152">
        <f>FIN_M!W38</f>
        <v>-1232.247741040034</v>
      </c>
      <c r="Z49" s="125"/>
      <c r="AA49" s="152">
        <f>ROLL_Q!L38</f>
        <v>-1112.6885683766723</v>
      </c>
      <c r="AB49" s="152">
        <f>ROLL_Q!M38</f>
        <v>-1719.0070442408262</v>
      </c>
      <c r="AC49" s="152">
        <f>ROLL_Q!N38</f>
        <v>-2454.3553587777533</v>
      </c>
      <c r="AD49" s="152">
        <f>ROLL_Q!O38</f>
        <v>-3358.4994037112465</v>
      </c>
      <c r="AE49" s="125"/>
      <c r="AF49" s="127">
        <f t="shared" si="5"/>
        <v>-8644.5503751064971</v>
      </c>
    </row>
    <row r="50" spans="1:32" x14ac:dyDescent="0.55000000000000004">
      <c r="B50" s="6"/>
      <c r="C50" s="6"/>
      <c r="D50" s="6"/>
      <c r="E50" s="6"/>
      <c r="F50" s="6"/>
      <c r="G50" s="6"/>
      <c r="H50" s="6"/>
      <c r="I50" s="6"/>
      <c r="J50" s="113"/>
      <c r="AF50" s="112"/>
    </row>
    <row r="51" spans="1:32" x14ac:dyDescent="0.55000000000000004">
      <c r="B51" s="6"/>
      <c r="C51" s="6"/>
      <c r="D51" s="6"/>
      <c r="E51" s="6"/>
      <c r="F51" s="6"/>
      <c r="G51" s="6"/>
      <c r="H51" s="6"/>
      <c r="I51" s="6"/>
      <c r="J51" s="119" t="s">
        <v>74</v>
      </c>
      <c r="AF51" s="112"/>
    </row>
    <row r="52" spans="1:32" x14ac:dyDescent="0.55000000000000004">
      <c r="B52" s="6"/>
      <c r="C52" s="6"/>
      <c r="D52" s="6"/>
      <c r="E52" s="6"/>
      <c r="F52" s="6"/>
      <c r="G52" s="6"/>
      <c r="H52" s="6"/>
      <c r="I52" s="6"/>
      <c r="J52" s="113" t="s">
        <v>83</v>
      </c>
      <c r="N52" s="51">
        <f>FIN_M!L44</f>
        <v>29690.381260273971</v>
      </c>
      <c r="O52" s="51">
        <f>FIN_M!M44</f>
        <v>29320.346502772602</v>
      </c>
      <c r="P52" s="51">
        <f>FIN_M!N44</f>
        <v>28887.311431623326</v>
      </c>
      <c r="Q52" s="51">
        <f>FIN_M!O44</f>
        <v>28387.279240606193</v>
      </c>
      <c r="R52" s="51">
        <f>FIN_M!P44</f>
        <v>27815.872514689363</v>
      </c>
      <c r="S52" s="51">
        <f>FIN_M!Q44</f>
        <v>27168.304387382497</v>
      </c>
      <c r="T52" s="51">
        <f>FIN_M!R44</f>
        <v>26439.34737575809</v>
      </c>
      <c r="U52" s="51">
        <f>FIN_M!S44</f>
        <v>25623.299718445061</v>
      </c>
      <c r="V52" s="51">
        <f>FIN_M!T44</f>
        <v>24713.949028604744</v>
      </c>
      <c r="W52" s="51">
        <f>FIN_M!U44</f>
        <v>23704.533059624224</v>
      </c>
      <c r="X52" s="51">
        <f>FIN_M!V44</f>
        <v>22587.697365933531</v>
      </c>
      <c r="Y52" s="51">
        <f>FIN_M!W44</f>
        <v>21355.449624893496</v>
      </c>
      <c r="AA52" s="51">
        <f>ROLL_Q!L44</f>
        <v>28887.311431623326</v>
      </c>
      <c r="AB52" s="51">
        <f>ROLL_Q!M44</f>
        <v>27168.304387382501</v>
      </c>
      <c r="AC52" s="51">
        <f>ROLL_Q!N44</f>
        <v>24713.949028604748</v>
      </c>
      <c r="AD52" s="51">
        <f>ROLL_Q!O44</f>
        <v>21355.449624893503</v>
      </c>
      <c r="AF52" s="112">
        <f>AD52</f>
        <v>21355.449624893503</v>
      </c>
    </row>
    <row r="53" spans="1:32" x14ac:dyDescent="0.55000000000000004">
      <c r="B53" s="6"/>
      <c r="C53" s="6"/>
      <c r="D53" s="6"/>
      <c r="E53" s="6"/>
      <c r="F53" s="6"/>
      <c r="G53" s="6"/>
      <c r="H53" s="6"/>
      <c r="I53" s="6"/>
      <c r="J53" s="159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60"/>
    </row>
    <row r="55" spans="1:32" s="3" customFormat="1" ht="14.4" x14ac:dyDescent="0.55000000000000004">
      <c r="A55" s="169" t="s">
        <v>0</v>
      </c>
      <c r="B55" s="164" t="s">
        <v>180</v>
      </c>
      <c r="C55" s="48"/>
      <c r="D55" s="48"/>
      <c r="E55" s="48"/>
      <c r="F55" s="161"/>
      <c r="G55" s="48"/>
      <c r="H55" s="48"/>
      <c r="I55" s="48"/>
      <c r="J55" s="162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</row>
    <row r="74" spans="1:2" ht="14.4" x14ac:dyDescent="0.55000000000000004">
      <c r="A74" s="167"/>
      <c r="B74" s="168"/>
    </row>
    <row r="88" spans="1:2" ht="14.4" x14ac:dyDescent="0.55000000000000004">
      <c r="A88" s="167"/>
      <c r="B88" s="168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06743-16DE-4962-92A4-ABE88BEA7009}">
  <sheetPr>
    <tabColor theme="1"/>
  </sheetPr>
  <dimension ref="A1:L84"/>
  <sheetViews>
    <sheetView showGridLines="0" zoomScale="85" zoomScaleNormal="85" workbookViewId="0"/>
  </sheetViews>
  <sheetFormatPr defaultColWidth="0" defaultRowHeight="14.4" zeroHeight="1" x14ac:dyDescent="0.55000000000000004"/>
  <cols>
    <col min="1" max="1" width="2.578125" style="1" customWidth="1"/>
    <col min="2" max="11" width="8.83984375" style="1" customWidth="1"/>
    <col min="12" max="12" width="2.578125" style="1" customWidth="1"/>
    <col min="13" max="16384" width="8.83984375" style="1" hidden="1"/>
  </cols>
  <sheetData>
    <row r="1" spans="1:12" x14ac:dyDescent="0.55000000000000004"/>
    <row r="2" spans="1:12" x14ac:dyDescent="0.55000000000000004"/>
    <row r="3" spans="1:12" x14ac:dyDescent="0.55000000000000004"/>
    <row r="4" spans="1:12" ht="14.7" thickBot="1" x14ac:dyDescent="0.6">
      <c r="A4" s="6"/>
      <c r="B4" s="101"/>
      <c r="C4" s="101"/>
      <c r="D4" s="101"/>
      <c r="E4" s="101"/>
      <c r="F4" s="195"/>
      <c r="G4" s="101"/>
      <c r="H4" s="101"/>
      <c r="I4" s="101"/>
      <c r="J4" s="101"/>
      <c r="K4" s="101"/>
      <c r="L4"/>
    </row>
    <row r="5" spans="1:12" ht="3" customHeight="1" x14ac:dyDescent="0.55000000000000004">
      <c r="A5" s="180"/>
      <c r="B5" s="181"/>
      <c r="C5" s="181"/>
      <c r="D5" s="181"/>
      <c r="E5" s="181"/>
      <c r="F5" s="182"/>
      <c r="G5" s="181"/>
      <c r="H5" s="181"/>
      <c r="I5" s="181"/>
      <c r="J5" s="181"/>
      <c r="K5" s="181"/>
      <c r="L5"/>
    </row>
    <row r="6" spans="1:12" ht="15.6" x14ac:dyDescent="0.55000000000000004">
      <c r="A6" s="180"/>
      <c r="B6" s="194" t="s">
        <v>160</v>
      </c>
      <c r="C6" s="181"/>
      <c r="D6" s="181"/>
      <c r="E6" s="181"/>
      <c r="F6" s="181"/>
      <c r="G6" s="181"/>
      <c r="H6" s="181"/>
      <c r="I6" s="181"/>
      <c r="J6" s="181"/>
      <c r="K6" s="181"/>
      <c r="L6"/>
    </row>
    <row r="7" spans="1:12" x14ac:dyDescent="0.55000000000000004">
      <c r="A7" s="180"/>
      <c r="B7" s="179" t="s">
        <v>164</v>
      </c>
      <c r="C7" s="181"/>
      <c r="D7" s="181"/>
      <c r="E7" s="181"/>
      <c r="F7" s="181"/>
      <c r="G7" s="181"/>
      <c r="H7" s="181"/>
      <c r="I7" s="181"/>
      <c r="J7" s="181"/>
      <c r="K7" s="181"/>
      <c r="L7"/>
    </row>
    <row r="8" spans="1:12" ht="3" customHeight="1" x14ac:dyDescent="0.55000000000000004">
      <c r="A8" s="180"/>
      <c r="B8" s="181"/>
      <c r="C8" s="181"/>
      <c r="D8" s="181"/>
      <c r="E8" s="181"/>
      <c r="F8" s="182"/>
      <c r="G8" s="181"/>
      <c r="H8" s="181"/>
      <c r="I8" s="181"/>
      <c r="J8" s="181"/>
      <c r="K8" s="181"/>
      <c r="L8"/>
    </row>
    <row r="9" spans="1:12" x14ac:dyDescent="0.55000000000000004">
      <c r="A9" s="180"/>
      <c r="B9" s="181"/>
      <c r="C9" s="181"/>
      <c r="D9" s="181"/>
      <c r="E9" s="181"/>
      <c r="F9" s="186"/>
      <c r="G9" s="187"/>
      <c r="H9" s="186"/>
      <c r="I9" s="186"/>
      <c r="J9" s="186"/>
      <c r="K9" s="186"/>
      <c r="L9"/>
    </row>
    <row r="10" spans="1:12" ht="3" customHeight="1" thickBot="1" x14ac:dyDescent="0.6">
      <c r="A10" s="180"/>
      <c r="B10" s="196"/>
      <c r="C10" s="196"/>
      <c r="D10" s="196"/>
      <c r="E10" s="196"/>
      <c r="F10" s="197"/>
      <c r="G10" s="196"/>
      <c r="H10" s="196"/>
      <c r="I10" s="196"/>
      <c r="J10" s="196"/>
      <c r="K10" s="196"/>
      <c r="L10"/>
    </row>
    <row r="11" spans="1:12" x14ac:dyDescent="0.55000000000000004">
      <c r="A11" s="4"/>
      <c r="B11" s="3"/>
      <c r="C11" s="3"/>
      <c r="D11" s="3"/>
      <c r="E11" s="3"/>
      <c r="F11" s="5"/>
      <c r="G11" s="3"/>
      <c r="H11" s="3"/>
      <c r="I11" s="3"/>
      <c r="J11" s="3"/>
      <c r="K11" s="3"/>
      <c r="L11"/>
    </row>
    <row r="12" spans="1:12" x14ac:dyDescent="0.55000000000000004">
      <c r="A12" s="4"/>
      <c r="B12" s="3"/>
      <c r="C12" s="3"/>
      <c r="D12" s="3"/>
      <c r="E12" s="3"/>
      <c r="F12" s="174"/>
      <c r="G12" s="175"/>
      <c r="H12" s="175"/>
      <c r="I12" s="175"/>
      <c r="J12" s="175"/>
      <c r="K12" s="175"/>
      <c r="L12"/>
    </row>
    <row r="13" spans="1:12" x14ac:dyDescent="0.55000000000000004"/>
    <row r="15" spans="1:12" hidden="1" x14ac:dyDescent="0.55000000000000004">
      <c r="A15" s="165"/>
      <c r="B15" s="165"/>
    </row>
    <row r="17" s="1" customFormat="1" hidden="1" x14ac:dyDescent="0.55000000000000004"/>
    <row r="18" s="1" customFormat="1" hidden="1" x14ac:dyDescent="0.55000000000000004"/>
    <row r="19" s="1" customFormat="1" hidden="1" x14ac:dyDescent="0.55000000000000004"/>
    <row r="20" s="1" customFormat="1" hidden="1" x14ac:dyDescent="0.55000000000000004"/>
    <row r="21" s="1" customFormat="1" hidden="1" x14ac:dyDescent="0.55000000000000004"/>
    <row r="22" s="1" customFormat="1" hidden="1" x14ac:dyDescent="0.55000000000000004"/>
    <row r="23" s="1" customFormat="1" hidden="1" x14ac:dyDescent="0.55000000000000004"/>
    <row r="24" s="1" customFormat="1" hidden="1" x14ac:dyDescent="0.55000000000000004"/>
    <row r="25" s="1" customFormat="1" hidden="1" x14ac:dyDescent="0.55000000000000004"/>
    <row r="26" s="1" customFormat="1" hidden="1" x14ac:dyDescent="0.55000000000000004"/>
    <row r="27" s="1" customFormat="1" hidden="1" x14ac:dyDescent="0.55000000000000004"/>
    <row r="28" s="1" customFormat="1" hidden="1" x14ac:dyDescent="0.55000000000000004"/>
    <row r="29" s="1" customFormat="1" hidden="1" x14ac:dyDescent="0.55000000000000004"/>
    <row r="30" s="1" customFormat="1" hidden="1" x14ac:dyDescent="0.55000000000000004"/>
    <row r="31" s="1" customFormat="1" hidden="1" x14ac:dyDescent="0.55000000000000004"/>
    <row r="32" s="1" customFormat="1" x14ac:dyDescent="0.55000000000000004"/>
    <row r="43" spans="1:2" hidden="1" x14ac:dyDescent="0.55000000000000004">
      <c r="A43" s="165"/>
      <c r="B43" s="165"/>
    </row>
    <row r="51" spans="1:2" hidden="1" x14ac:dyDescent="0.55000000000000004">
      <c r="A51" s="165"/>
      <c r="B51" s="165" t="s">
        <v>180</v>
      </c>
    </row>
    <row r="70" spans="1:2" hidden="1" x14ac:dyDescent="0.55000000000000004">
      <c r="A70" s="165"/>
      <c r="B70" s="165"/>
    </row>
    <row r="84" spans="1:2" hidden="1" x14ac:dyDescent="0.55000000000000004">
      <c r="A84" s="165"/>
      <c r="B84" s="16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7C116-3804-4DA6-9BAB-A87F35071B50}">
  <sheetPr>
    <tabColor theme="0"/>
  </sheetPr>
  <dimension ref="A1:W149"/>
  <sheetViews>
    <sheetView showGridLines="0" zoomScale="85" zoomScaleNormal="85" workbookViewId="0">
      <pane xSplit="11" ySplit="11" topLeftCell="L12" activePane="bottomRight" state="frozen"/>
      <selection activeCell="B10" sqref="B10"/>
      <selection pane="topRight" activeCell="B10" sqref="B10"/>
      <selection pane="bottomLeft" activeCell="B10" sqref="B10"/>
      <selection pane="bottomRight"/>
    </sheetView>
  </sheetViews>
  <sheetFormatPr defaultColWidth="9.3125" defaultRowHeight="12.9" x14ac:dyDescent="0.5"/>
  <cols>
    <col min="1" max="1" width="2.578125" style="2" customWidth="1"/>
    <col min="2" max="5" width="9.3125" style="2"/>
    <col min="6" max="6" width="9.3125" style="62"/>
    <col min="7" max="16384" width="9.3125" style="2"/>
  </cols>
  <sheetData>
    <row r="1" spans="1:23" ht="6" customHeight="1" thickBot="1" x14ac:dyDescent="0.55000000000000004">
      <c r="B1" s="192"/>
      <c r="C1" s="192"/>
      <c r="D1" s="192"/>
      <c r="E1" s="192"/>
      <c r="F1" s="193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</row>
    <row r="2" spans="1:23" s="177" customFormat="1" ht="3" customHeight="1" x14ac:dyDescent="0.55000000000000004">
      <c r="A2" s="176"/>
      <c r="F2" s="178"/>
    </row>
    <row r="3" spans="1:23" s="177" customFormat="1" ht="15.6" x14ac:dyDescent="0.55000000000000004">
      <c r="A3" s="176"/>
      <c r="B3" s="194" t="s">
        <v>160</v>
      </c>
    </row>
    <row r="4" spans="1:23" s="177" customFormat="1" ht="14.4" x14ac:dyDescent="0.55000000000000004">
      <c r="A4" s="176"/>
      <c r="B4" s="179" t="s">
        <v>46</v>
      </c>
    </row>
    <row r="5" spans="1:23" s="177" customFormat="1" ht="3" customHeight="1" x14ac:dyDescent="0.55000000000000004">
      <c r="A5" s="176"/>
      <c r="F5" s="178"/>
    </row>
    <row r="6" spans="1:23" s="181" customFormat="1" x14ac:dyDescent="0.5">
      <c r="A6" s="180"/>
      <c r="B6" s="181" t="s">
        <v>6</v>
      </c>
      <c r="F6" s="182"/>
      <c r="L6" s="183">
        <f>INP!L77</f>
        <v>46053</v>
      </c>
      <c r="M6" s="183">
        <f>INP!M77</f>
        <v>46081</v>
      </c>
      <c r="N6" s="183">
        <f>INP!N77</f>
        <v>46112</v>
      </c>
      <c r="O6" s="183">
        <f>INP!O77</f>
        <v>46142</v>
      </c>
      <c r="P6" s="183">
        <f>INP!P77</f>
        <v>46173</v>
      </c>
      <c r="Q6" s="183">
        <f>INP!Q77</f>
        <v>46203</v>
      </c>
      <c r="R6" s="183">
        <f>INP!R77</f>
        <v>46234</v>
      </c>
      <c r="S6" s="183">
        <f>INP!S77</f>
        <v>46265</v>
      </c>
      <c r="T6" s="183">
        <f>INP!T77</f>
        <v>46295</v>
      </c>
      <c r="U6" s="183">
        <f>INP!U77</f>
        <v>46326</v>
      </c>
      <c r="V6" s="183">
        <f>INP!V77</f>
        <v>46356</v>
      </c>
      <c r="W6" s="183">
        <f>INP!W77</f>
        <v>46387</v>
      </c>
    </row>
    <row r="7" spans="1:23" s="177" customFormat="1" x14ac:dyDescent="0.5">
      <c r="A7" s="176"/>
      <c r="B7" s="177" t="s">
        <v>7</v>
      </c>
      <c r="F7" s="178"/>
      <c r="L7" s="184">
        <f>INP!L78</f>
        <v>46023</v>
      </c>
      <c r="M7" s="184">
        <f>INP!M78</f>
        <v>46054</v>
      </c>
      <c r="N7" s="184">
        <f>INP!N78</f>
        <v>46082</v>
      </c>
      <c r="O7" s="184">
        <f>INP!O78</f>
        <v>46113</v>
      </c>
      <c r="P7" s="184">
        <f>INP!P78</f>
        <v>46143</v>
      </c>
      <c r="Q7" s="184">
        <f>INP!Q78</f>
        <v>46174</v>
      </c>
      <c r="R7" s="184">
        <f>INP!R78</f>
        <v>46204</v>
      </c>
      <c r="S7" s="184">
        <f>INP!S78</f>
        <v>46235</v>
      </c>
      <c r="T7" s="184">
        <f>INP!T78</f>
        <v>46266</v>
      </c>
      <c r="U7" s="184">
        <f>INP!U78</f>
        <v>46296</v>
      </c>
      <c r="V7" s="184">
        <f>INP!V78</f>
        <v>46327</v>
      </c>
      <c r="W7" s="184">
        <f>INP!W78</f>
        <v>46357</v>
      </c>
    </row>
    <row r="8" spans="1:23" s="177" customFormat="1" x14ac:dyDescent="0.5">
      <c r="A8" s="176"/>
      <c r="B8" s="177" t="s">
        <v>8</v>
      </c>
      <c r="F8" s="178"/>
      <c r="L8" s="185">
        <f>INP!L79</f>
        <v>2026</v>
      </c>
      <c r="M8" s="185">
        <f>INP!M79</f>
        <v>2026</v>
      </c>
      <c r="N8" s="185">
        <f>INP!N79</f>
        <v>2026</v>
      </c>
      <c r="O8" s="185">
        <f>INP!O79</f>
        <v>2026</v>
      </c>
      <c r="P8" s="185">
        <f>INP!P79</f>
        <v>2026</v>
      </c>
      <c r="Q8" s="185">
        <f>INP!Q79</f>
        <v>2026</v>
      </c>
      <c r="R8" s="185">
        <f>INP!R79</f>
        <v>2026</v>
      </c>
      <c r="S8" s="185">
        <f>INP!S79</f>
        <v>2026</v>
      </c>
      <c r="T8" s="185">
        <f>INP!T79</f>
        <v>2026</v>
      </c>
      <c r="U8" s="185">
        <f>INP!U79</f>
        <v>2026</v>
      </c>
      <c r="V8" s="185">
        <f>INP!V79</f>
        <v>2026</v>
      </c>
      <c r="W8" s="185">
        <f>INP!W79</f>
        <v>2026</v>
      </c>
    </row>
    <row r="9" spans="1:23" s="177" customFormat="1" x14ac:dyDescent="0.5">
      <c r="A9" s="176"/>
      <c r="B9" s="177" t="s">
        <v>9</v>
      </c>
      <c r="F9" s="186" t="s">
        <v>3</v>
      </c>
      <c r="G9" s="187"/>
      <c r="H9" s="186" t="s">
        <v>4</v>
      </c>
      <c r="I9" s="186" t="s">
        <v>10</v>
      </c>
      <c r="J9" s="186" t="s">
        <v>11</v>
      </c>
      <c r="K9" s="186" t="s">
        <v>183</v>
      </c>
      <c r="L9" s="185">
        <f>INP!L80</f>
        <v>31</v>
      </c>
      <c r="M9" s="185">
        <f>INP!M80</f>
        <v>28</v>
      </c>
      <c r="N9" s="185">
        <f>INP!N80</f>
        <v>31</v>
      </c>
      <c r="O9" s="185">
        <f>INP!O80</f>
        <v>30</v>
      </c>
      <c r="P9" s="185">
        <f>INP!P80</f>
        <v>31</v>
      </c>
      <c r="Q9" s="185">
        <f>INP!Q80</f>
        <v>30</v>
      </c>
      <c r="R9" s="185">
        <f>INP!R80</f>
        <v>31</v>
      </c>
      <c r="S9" s="185">
        <f>INP!S80</f>
        <v>31</v>
      </c>
      <c r="T9" s="185">
        <f>INP!T80</f>
        <v>30</v>
      </c>
      <c r="U9" s="185">
        <f>INP!U80</f>
        <v>31</v>
      </c>
      <c r="V9" s="185">
        <f>INP!V80</f>
        <v>30</v>
      </c>
      <c r="W9" s="185">
        <f>INP!W80</f>
        <v>31</v>
      </c>
    </row>
    <row r="10" spans="1:23" s="177" customFormat="1" ht="3" customHeight="1" thickBot="1" x14ac:dyDescent="0.6">
      <c r="A10" s="188"/>
      <c r="B10" s="189"/>
      <c r="C10" s="190"/>
      <c r="D10" s="190"/>
      <c r="E10" s="190"/>
      <c r="F10" s="191"/>
      <c r="G10" s="190"/>
      <c r="H10" s="190"/>
      <c r="I10" s="190"/>
      <c r="J10" s="190"/>
      <c r="K10" s="190"/>
      <c r="L10" s="190"/>
      <c r="M10" s="190"/>
      <c r="N10" s="190"/>
      <c r="O10" s="190"/>
      <c r="P10" s="190"/>
      <c r="Q10" s="190"/>
      <c r="R10" s="190"/>
      <c r="S10" s="190"/>
      <c r="T10" s="190"/>
      <c r="U10" s="190"/>
      <c r="V10" s="190"/>
      <c r="W10" s="190"/>
    </row>
    <row r="11" spans="1:23" s="7" customFormat="1" ht="3" customHeight="1" x14ac:dyDescent="0.55000000000000004">
      <c r="A11" s="6"/>
      <c r="F11" s="8"/>
    </row>
    <row r="12" spans="1:23" s="7" customFormat="1" ht="3" customHeight="1" x14ac:dyDescent="0.55000000000000004">
      <c r="A12" s="6"/>
      <c r="F12" s="8"/>
    </row>
    <row r="13" spans="1:23" s="7" customFormat="1" ht="14.4" x14ac:dyDescent="0.55000000000000004">
      <c r="A13" s="163" t="s">
        <v>0</v>
      </c>
      <c r="B13" s="198" t="s">
        <v>194</v>
      </c>
      <c r="C13" s="202"/>
      <c r="D13" s="202"/>
      <c r="E13" s="202"/>
      <c r="F13" s="203"/>
      <c r="G13" s="202"/>
      <c r="H13" s="202"/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</row>
    <row r="14" spans="1:23" s="7" customFormat="1" ht="14.4" x14ac:dyDescent="0.55000000000000004">
      <c r="A14" s="167"/>
      <c r="B14" s="168"/>
      <c r="F14" s="8"/>
    </row>
    <row r="15" spans="1:23" s="7" customFormat="1" x14ac:dyDescent="0.55000000000000004">
      <c r="A15" s="6"/>
      <c r="B15" s="3" t="s">
        <v>195</v>
      </c>
      <c r="F15" s="8"/>
    </row>
    <row r="16" spans="1:23" s="7" customFormat="1" x14ac:dyDescent="0.55000000000000004">
      <c r="A16" s="6"/>
      <c r="B16" s="7" t="str">
        <f>B52</f>
        <v>SMB</v>
      </c>
      <c r="F16" s="8" t="s">
        <v>15</v>
      </c>
      <c r="L16" s="11">
        <f>L70</f>
        <v>525</v>
      </c>
      <c r="M16" s="11">
        <f t="shared" ref="M16:W16" si="0">M70</f>
        <v>548.75</v>
      </c>
      <c r="N16" s="11">
        <f t="shared" si="0"/>
        <v>571.3125</v>
      </c>
      <c r="O16" s="11">
        <f t="shared" si="0"/>
        <v>592.74687500000005</v>
      </c>
      <c r="P16" s="11">
        <f t="shared" si="0"/>
        <v>613.10953125000003</v>
      </c>
      <c r="Q16" s="11">
        <f t="shared" si="0"/>
        <v>632.45405468750005</v>
      </c>
      <c r="R16" s="11">
        <f t="shared" si="0"/>
        <v>650.83135195312502</v>
      </c>
      <c r="S16" s="11">
        <f t="shared" si="0"/>
        <v>668.28978435546878</v>
      </c>
      <c r="T16" s="11">
        <f t="shared" si="0"/>
        <v>684.87529513769539</v>
      </c>
      <c r="U16" s="11">
        <f t="shared" si="0"/>
        <v>700.63153038081066</v>
      </c>
      <c r="V16" s="11">
        <f t="shared" si="0"/>
        <v>715.59995386177013</v>
      </c>
      <c r="W16" s="11">
        <f t="shared" si="0"/>
        <v>729.81995616868164</v>
      </c>
    </row>
    <row r="17" spans="1:23" s="7" customFormat="1" x14ac:dyDescent="0.55000000000000004">
      <c r="A17" s="6"/>
      <c r="B17" s="7" t="str">
        <f t="shared" ref="B17:B18" si="1">B53</f>
        <v>Mid-Market</v>
      </c>
      <c r="F17" s="8" t="s">
        <v>15</v>
      </c>
      <c r="L17" s="11">
        <f t="shared" ref="L17:W17" si="2">L71</f>
        <v>103.4</v>
      </c>
      <c r="M17" s="11">
        <f t="shared" si="2"/>
        <v>126.33200000000001</v>
      </c>
      <c r="N17" s="11">
        <f t="shared" si="2"/>
        <v>148.80536000000001</v>
      </c>
      <c r="O17" s="11">
        <f t="shared" si="2"/>
        <v>170.82925280000001</v>
      </c>
      <c r="P17" s="11">
        <f t="shared" si="2"/>
        <v>192.412667744</v>
      </c>
      <c r="Q17" s="11">
        <f t="shared" si="2"/>
        <v>213.56441438912</v>
      </c>
      <c r="R17" s="11">
        <f t="shared" si="2"/>
        <v>234.29312610133761</v>
      </c>
      <c r="S17" s="11">
        <f t="shared" si="2"/>
        <v>254.60726357931088</v>
      </c>
      <c r="T17" s="11">
        <f t="shared" si="2"/>
        <v>274.51511830772466</v>
      </c>
      <c r="U17" s="11">
        <f t="shared" si="2"/>
        <v>294.02481594157018</v>
      </c>
      <c r="V17" s="11">
        <f t="shared" si="2"/>
        <v>313.14431962273881</v>
      </c>
      <c r="W17" s="11">
        <f t="shared" si="2"/>
        <v>331.88143323028402</v>
      </c>
    </row>
    <row r="18" spans="1:23" s="7" customFormat="1" x14ac:dyDescent="0.55000000000000004">
      <c r="A18" s="6"/>
      <c r="B18" s="7" t="str">
        <f t="shared" si="1"/>
        <v>Enterprise</v>
      </c>
      <c r="F18" s="8" t="s">
        <v>15</v>
      </c>
      <c r="L18" s="11">
        <f t="shared" ref="L18:W18" si="3">L72</f>
        <v>29.8</v>
      </c>
      <c r="M18" s="11">
        <f t="shared" si="3"/>
        <v>39.501999999999995</v>
      </c>
      <c r="N18" s="11">
        <f t="shared" si="3"/>
        <v>49.106979999999993</v>
      </c>
      <c r="O18" s="11">
        <f t="shared" si="3"/>
        <v>58.615910199999995</v>
      </c>
      <c r="P18" s="11">
        <f t="shared" si="3"/>
        <v>68.029751098000006</v>
      </c>
      <c r="Q18" s="11">
        <f t="shared" si="3"/>
        <v>77.349453587020008</v>
      </c>
      <c r="R18" s="11">
        <f t="shared" si="3"/>
        <v>86.575959051149809</v>
      </c>
      <c r="S18" s="11">
        <f t="shared" si="3"/>
        <v>95.710199460638307</v>
      </c>
      <c r="T18" s="11">
        <f t="shared" si="3"/>
        <v>104.75309746603192</v>
      </c>
      <c r="U18" s="11">
        <f t="shared" si="3"/>
        <v>113.7055664913716</v>
      </c>
      <c r="V18" s="11">
        <f t="shared" si="3"/>
        <v>122.56851082645788</v>
      </c>
      <c r="W18" s="11">
        <f t="shared" si="3"/>
        <v>131.34282571819332</v>
      </c>
    </row>
    <row r="19" spans="1:23" s="7" customFormat="1" ht="14.4" x14ac:dyDescent="0.55000000000000004">
      <c r="A19" s="167"/>
      <c r="B19" s="173" t="s">
        <v>183</v>
      </c>
      <c r="C19" s="43"/>
      <c r="D19" s="43"/>
      <c r="E19" s="43"/>
      <c r="F19" s="57" t="s">
        <v>15</v>
      </c>
      <c r="G19" s="43"/>
      <c r="H19" s="43"/>
      <c r="I19" s="43"/>
      <c r="J19" s="43"/>
      <c r="K19" s="43"/>
      <c r="L19" s="58">
        <f>SUM(L16:L18)</f>
        <v>658.19999999999993</v>
      </c>
      <c r="M19" s="58">
        <f t="shared" ref="M19:W19" si="4">SUM(M16:M18)</f>
        <v>714.58399999999995</v>
      </c>
      <c r="N19" s="58">
        <f t="shared" si="4"/>
        <v>769.22484000000009</v>
      </c>
      <c r="O19" s="58">
        <f t="shared" si="4"/>
        <v>822.19203800000003</v>
      </c>
      <c r="P19" s="58">
        <f t="shared" si="4"/>
        <v>873.55195009200008</v>
      </c>
      <c r="Q19" s="58">
        <f t="shared" si="4"/>
        <v>923.36792266364</v>
      </c>
      <c r="R19" s="58">
        <f t="shared" si="4"/>
        <v>971.70043710561242</v>
      </c>
      <c r="S19" s="58">
        <f t="shared" si="4"/>
        <v>1018.607247395418</v>
      </c>
      <c r="T19" s="58">
        <f t="shared" si="4"/>
        <v>1064.143510911452</v>
      </c>
      <c r="U19" s="58">
        <f t="shared" si="4"/>
        <v>1108.3619128137525</v>
      </c>
      <c r="V19" s="58">
        <f t="shared" si="4"/>
        <v>1151.3127843109669</v>
      </c>
      <c r="W19" s="58">
        <f t="shared" si="4"/>
        <v>1193.044215117159</v>
      </c>
    </row>
    <row r="20" spans="1:23" s="7" customFormat="1" x14ac:dyDescent="0.55000000000000004">
      <c r="A20" s="6"/>
      <c r="F20" s="8"/>
    </row>
    <row r="21" spans="1:23" s="7" customFormat="1" x14ac:dyDescent="0.55000000000000004">
      <c r="A21" s="6"/>
      <c r="B21" s="3" t="s">
        <v>196</v>
      </c>
      <c r="F21" s="8"/>
    </row>
    <row r="22" spans="1:23" s="7" customFormat="1" x14ac:dyDescent="0.55000000000000004">
      <c r="A22" s="6"/>
      <c r="B22" s="7" t="str">
        <f>B84</f>
        <v>SMB</v>
      </c>
      <c r="F22" s="8" t="s">
        <v>15</v>
      </c>
      <c r="L22" s="11">
        <f>L84</f>
        <v>10</v>
      </c>
      <c r="M22" s="11">
        <f t="shared" ref="M22:W22" si="5">M84</f>
        <v>10.1</v>
      </c>
      <c r="N22" s="11">
        <f t="shared" si="5"/>
        <v>10.201000000000001</v>
      </c>
      <c r="O22" s="11">
        <f t="shared" si="5"/>
        <v>10.30301</v>
      </c>
      <c r="P22" s="11">
        <f t="shared" si="5"/>
        <v>10.4060401</v>
      </c>
      <c r="Q22" s="11">
        <f t="shared" si="5"/>
        <v>10.510100501</v>
      </c>
      <c r="R22" s="11">
        <f t="shared" si="5"/>
        <v>10.615201506010001</v>
      </c>
      <c r="S22" s="11">
        <f t="shared" si="5"/>
        <v>10.721353521070101</v>
      </c>
      <c r="T22" s="11">
        <f t="shared" si="5"/>
        <v>10.828567056280802</v>
      </c>
      <c r="U22" s="11">
        <f t="shared" si="5"/>
        <v>10.936852726843609</v>
      </c>
      <c r="V22" s="11">
        <f t="shared" si="5"/>
        <v>11.046221254112046</v>
      </c>
      <c r="W22" s="11">
        <f t="shared" si="5"/>
        <v>11.156683466653167</v>
      </c>
    </row>
    <row r="23" spans="1:23" s="7" customFormat="1" x14ac:dyDescent="0.55000000000000004">
      <c r="A23" s="6"/>
      <c r="B23" s="7" t="str">
        <f t="shared" ref="B23:B24" si="6">B85</f>
        <v>Mid-Market</v>
      </c>
      <c r="F23" s="8" t="s">
        <v>15</v>
      </c>
      <c r="L23" s="11">
        <f t="shared" ref="L23:W23" si="7">L85</f>
        <v>30</v>
      </c>
      <c r="M23" s="11">
        <f t="shared" si="7"/>
        <v>31.200000000000003</v>
      </c>
      <c r="N23" s="11">
        <f t="shared" si="7"/>
        <v>32.448000000000008</v>
      </c>
      <c r="O23" s="11">
        <f t="shared" si="7"/>
        <v>33.745920000000012</v>
      </c>
      <c r="P23" s="11">
        <f t="shared" si="7"/>
        <v>35.095756800000011</v>
      </c>
      <c r="Q23" s="11">
        <f t="shared" si="7"/>
        <v>36.499587072000011</v>
      </c>
      <c r="R23" s="11">
        <f t="shared" si="7"/>
        <v>37.95957055488001</v>
      </c>
      <c r="S23" s="11">
        <f t="shared" si="7"/>
        <v>39.47795337707521</v>
      </c>
      <c r="T23" s="11">
        <f t="shared" si="7"/>
        <v>41.057071512158217</v>
      </c>
      <c r="U23" s="11">
        <f t="shared" si="7"/>
        <v>42.699354372644549</v>
      </c>
      <c r="V23" s="11">
        <f t="shared" si="7"/>
        <v>44.407328547550335</v>
      </c>
      <c r="W23" s="11">
        <f t="shared" si="7"/>
        <v>46.183621689452352</v>
      </c>
    </row>
    <row r="24" spans="1:23" s="7" customFormat="1" x14ac:dyDescent="0.55000000000000004">
      <c r="A24" s="6"/>
      <c r="B24" s="7" t="str">
        <f t="shared" si="6"/>
        <v>Enterprise</v>
      </c>
      <c r="F24" s="8" t="s">
        <v>15</v>
      </c>
      <c r="L24" s="11">
        <f t="shared" ref="L24:W24" si="8">L86</f>
        <v>100</v>
      </c>
      <c r="M24" s="11">
        <f t="shared" si="8"/>
        <v>107</v>
      </c>
      <c r="N24" s="11">
        <f t="shared" si="8"/>
        <v>114.49000000000001</v>
      </c>
      <c r="O24" s="11">
        <f t="shared" si="8"/>
        <v>122.50430000000001</v>
      </c>
      <c r="P24" s="11">
        <f t="shared" si="8"/>
        <v>131.07960100000003</v>
      </c>
      <c r="Q24" s="11">
        <f t="shared" si="8"/>
        <v>140.25517307000004</v>
      </c>
      <c r="R24" s="11">
        <f t="shared" si="8"/>
        <v>150.07303518490005</v>
      </c>
      <c r="S24" s="11">
        <f t="shared" si="8"/>
        <v>160.57814764784305</v>
      </c>
      <c r="T24" s="11">
        <f t="shared" si="8"/>
        <v>171.81861798319207</v>
      </c>
      <c r="U24" s="11">
        <f t="shared" si="8"/>
        <v>183.84592124201552</v>
      </c>
      <c r="V24" s="11">
        <f t="shared" si="8"/>
        <v>196.71513572895662</v>
      </c>
      <c r="W24" s="11">
        <f t="shared" si="8"/>
        <v>210.48519522998359</v>
      </c>
    </row>
    <row r="25" spans="1:23" s="7" customFormat="1" x14ac:dyDescent="0.55000000000000004">
      <c r="A25" s="6"/>
      <c r="B25" s="43" t="s">
        <v>191</v>
      </c>
      <c r="C25" s="43"/>
      <c r="D25" s="43"/>
      <c r="E25" s="43"/>
      <c r="F25" s="57" t="s">
        <v>15</v>
      </c>
      <c r="G25" s="43"/>
      <c r="H25" s="43"/>
      <c r="I25" s="43"/>
      <c r="J25" s="43"/>
      <c r="K25" s="43"/>
      <c r="L25" s="58">
        <f>SUMPRODUCT(L22:L24,L70:L72)/L73</f>
        <v>17.216651473716198</v>
      </c>
      <c r="M25" s="58">
        <f t="shared" ref="M25:W25" si="9">SUMPRODUCT(M22:M24,M70:M72)/M73</f>
        <v>19.186893913101894</v>
      </c>
      <c r="N25" s="58">
        <f t="shared" si="9"/>
        <v>21.162412376048596</v>
      </c>
      <c r="O25" s="58">
        <f t="shared" si="9"/>
        <v>23.172893249491903</v>
      </c>
      <c r="P25" s="58">
        <f t="shared" si="9"/>
        <v>25.242028465502507</v>
      </c>
      <c r="Q25" s="58">
        <f t="shared" si="9"/>
        <v>27.389764138944649</v>
      </c>
      <c r="R25" s="58">
        <f t="shared" si="9"/>
        <v>29.633710398237113</v>
      </c>
      <c r="S25" s="58">
        <f t="shared" si="9"/>
        <v>31.990064214994597</v>
      </c>
      <c r="T25" s="58">
        <f t="shared" si="9"/>
        <v>34.474238636072755</v>
      </c>
      <c r="U25" s="58">
        <f t="shared" si="9"/>
        <v>37.101309437236281</v>
      </c>
      <c r="V25" s="58">
        <f t="shared" si="9"/>
        <v>39.886345373018088</v>
      </c>
      <c r="W25" s="58">
        <f t="shared" si="9"/>
        <v>42.844662806577823</v>
      </c>
    </row>
    <row r="26" spans="1:23" s="7" customFormat="1" x14ac:dyDescent="0.55000000000000004">
      <c r="A26" s="6"/>
      <c r="F26" s="8"/>
    </row>
    <row r="27" spans="1:23" s="7" customFormat="1" x14ac:dyDescent="0.55000000000000004">
      <c r="A27" s="6"/>
      <c r="B27" s="3" t="s">
        <v>197</v>
      </c>
      <c r="F27" s="8"/>
    </row>
    <row r="28" spans="1:23" s="7" customFormat="1" x14ac:dyDescent="0.55000000000000004">
      <c r="A28" s="6"/>
      <c r="B28" s="7" t="str">
        <f>B22</f>
        <v>SMB</v>
      </c>
      <c r="F28" s="8" t="s">
        <v>31</v>
      </c>
      <c r="L28" s="11">
        <f>L40/L16</f>
        <v>5.4</v>
      </c>
      <c r="M28" s="11">
        <f t="shared" ref="M28:W28" si="10">M40/M16</f>
        <v>5.43</v>
      </c>
      <c r="N28" s="11">
        <f t="shared" si="10"/>
        <v>5.4602999999999993</v>
      </c>
      <c r="O28" s="11">
        <f t="shared" si="10"/>
        <v>5.4909029999999976</v>
      </c>
      <c r="P28" s="11">
        <f t="shared" si="10"/>
        <v>5.5218120299999978</v>
      </c>
      <c r="Q28" s="11">
        <f t="shared" si="10"/>
        <v>5.5530301502999988</v>
      </c>
      <c r="R28" s="11">
        <f t="shared" si="10"/>
        <v>5.5845604518030001</v>
      </c>
      <c r="S28" s="11">
        <f t="shared" si="10"/>
        <v>5.6164060563210301</v>
      </c>
      <c r="T28" s="11">
        <f t="shared" si="10"/>
        <v>5.6485701168842395</v>
      </c>
      <c r="U28" s="11">
        <f t="shared" si="10"/>
        <v>5.681055818053081</v>
      </c>
      <c r="V28" s="11">
        <f t="shared" si="10"/>
        <v>5.7138663762336126</v>
      </c>
      <c r="W28" s="11">
        <f t="shared" si="10"/>
        <v>5.7470050399959485</v>
      </c>
    </row>
    <row r="29" spans="1:23" s="7" customFormat="1" x14ac:dyDescent="0.55000000000000004">
      <c r="A29" s="6"/>
      <c r="B29" s="7" t="str">
        <f t="shared" ref="B29:B31" si="11">B23</f>
        <v>Mid-Market</v>
      </c>
      <c r="F29" s="8" t="s">
        <v>31</v>
      </c>
      <c r="L29" s="11">
        <f t="shared" ref="L29:W29" si="12">L41/L17</f>
        <v>15.6</v>
      </c>
      <c r="M29" s="11">
        <f t="shared" si="12"/>
        <v>16.032</v>
      </c>
      <c r="N29" s="11">
        <f t="shared" si="12"/>
        <v>16.481280000000005</v>
      </c>
      <c r="O29" s="11">
        <f t="shared" si="12"/>
        <v>16.948531200000005</v>
      </c>
      <c r="P29" s="11">
        <f t="shared" si="12"/>
        <v>17.434472448000008</v>
      </c>
      <c r="Q29" s="11">
        <f t="shared" si="12"/>
        <v>17.939851345920005</v>
      </c>
      <c r="R29" s="11">
        <f t="shared" si="12"/>
        <v>18.465445399756806</v>
      </c>
      <c r="S29" s="11">
        <f t="shared" si="12"/>
        <v>19.012063215747077</v>
      </c>
      <c r="T29" s="11">
        <f t="shared" si="12"/>
        <v>19.580545744376959</v>
      </c>
      <c r="U29" s="11">
        <f t="shared" si="12"/>
        <v>20.171767574152039</v>
      </c>
      <c r="V29" s="11">
        <f t="shared" si="12"/>
        <v>20.786638277118122</v>
      </c>
      <c r="W29" s="11">
        <f t="shared" si="12"/>
        <v>21.426103808202846</v>
      </c>
    </row>
    <row r="30" spans="1:23" s="7" customFormat="1" x14ac:dyDescent="0.55000000000000004">
      <c r="A30" s="6"/>
      <c r="B30" s="7" t="str">
        <f t="shared" si="11"/>
        <v>Enterprise</v>
      </c>
      <c r="F30" s="8" t="s">
        <v>31</v>
      </c>
      <c r="L30" s="11">
        <f t="shared" ref="L30:W30" si="13">L42/L18</f>
        <v>51.599999999999994</v>
      </c>
      <c r="M30" s="11">
        <f t="shared" si="13"/>
        <v>54.54</v>
      </c>
      <c r="N30" s="11">
        <f t="shared" si="13"/>
        <v>57.685800000000008</v>
      </c>
      <c r="O30" s="11">
        <f t="shared" si="13"/>
        <v>61.051805999999992</v>
      </c>
      <c r="P30" s="11">
        <f t="shared" si="13"/>
        <v>64.653432420000001</v>
      </c>
      <c r="Q30" s="11">
        <f t="shared" si="13"/>
        <v>68.507172689400008</v>
      </c>
      <c r="R30" s="11">
        <f t="shared" si="13"/>
        <v>72.630674777658001</v>
      </c>
      <c r="S30" s="11">
        <f t="shared" si="13"/>
        <v>77.042822012094064</v>
      </c>
      <c r="T30" s="11">
        <f t="shared" si="13"/>
        <v>81.76381955294066</v>
      </c>
      <c r="U30" s="11">
        <f t="shared" si="13"/>
        <v>86.815286921646489</v>
      </c>
      <c r="V30" s="11">
        <f t="shared" si="13"/>
        <v>92.220357006161763</v>
      </c>
      <c r="W30" s="11">
        <f t="shared" si="13"/>
        <v>98.003781996593077</v>
      </c>
    </row>
    <row r="31" spans="1:23" s="7" customFormat="1" x14ac:dyDescent="0.55000000000000004">
      <c r="A31" s="6"/>
      <c r="B31" s="43" t="str">
        <f t="shared" si="11"/>
        <v>WEIGHTED AVERAGE</v>
      </c>
      <c r="C31" s="43"/>
      <c r="D31" s="43"/>
      <c r="E31" s="43"/>
      <c r="F31" s="57" t="s">
        <v>31</v>
      </c>
      <c r="G31" s="43"/>
      <c r="H31" s="43"/>
      <c r="I31" s="43"/>
      <c r="J31" s="43"/>
      <c r="K31" s="43"/>
      <c r="L31" s="58">
        <f>L43/L19</f>
        <v>9.0940747493163165</v>
      </c>
      <c r="M31" s="58">
        <f t="shared" ref="M31:W31" si="14">M43/M19</f>
        <v>10.019124699125644</v>
      </c>
      <c r="N31" s="58">
        <f t="shared" si="14"/>
        <v>10.926344856849395</v>
      </c>
      <c r="O31" s="58">
        <f t="shared" si="14"/>
        <v>11.832549141245067</v>
      </c>
      <c r="P31" s="58">
        <f t="shared" si="14"/>
        <v>12.750753808956356</v>
      </c>
      <c r="Q31" s="58">
        <f t="shared" si="14"/>
        <v>13.691554953658972</v>
      </c>
      <c r="R31" s="58">
        <f t="shared" si="14"/>
        <v>14.663988753905116</v>
      </c>
      <c r="S31" s="58">
        <f t="shared" si="14"/>
        <v>15.676091138372922</v>
      </c>
      <c r="T31" s="58">
        <f t="shared" si="14"/>
        <v>16.735275960124358</v>
      </c>
      <c r="U31" s="58">
        <f t="shared" si="14"/>
        <v>17.848600020459706</v>
      </c>
      <c r="V31" s="58">
        <f t="shared" si="14"/>
        <v>19.022955655768403</v>
      </c>
      <c r="W31" s="58">
        <f t="shared" si="14"/>
        <v>20.265215956750041</v>
      </c>
    </row>
    <row r="32" spans="1:23" s="7" customFormat="1" x14ac:dyDescent="0.55000000000000004">
      <c r="A32" s="6"/>
      <c r="F32" s="8"/>
    </row>
    <row r="33" spans="1:23" s="7" customFormat="1" x14ac:dyDescent="0.55000000000000004">
      <c r="A33" s="6"/>
      <c r="B33" s="3" t="s">
        <v>45</v>
      </c>
      <c r="F33" s="8"/>
    </row>
    <row r="34" spans="1:23" s="7" customFormat="1" x14ac:dyDescent="0.55000000000000004">
      <c r="A34" s="6"/>
      <c r="B34" s="7" t="str">
        <f>B22</f>
        <v>SMB</v>
      </c>
      <c r="F34" s="8" t="s">
        <v>31</v>
      </c>
      <c r="L34" s="11">
        <f>L132</f>
        <v>236.25</v>
      </c>
      <c r="M34" s="11">
        <f t="shared" ref="M34:W34" si="15">M132</f>
        <v>248.30937499999999</v>
      </c>
      <c r="N34" s="11">
        <f t="shared" si="15"/>
        <v>259.96147031249996</v>
      </c>
      <c r="O34" s="11">
        <f t="shared" si="15"/>
        <v>271.22629951484367</v>
      </c>
      <c r="P34" s="11">
        <f t="shared" si="15"/>
        <v>282.12296544699251</v>
      </c>
      <c r="Q34" s="11">
        <f t="shared" si="15"/>
        <v>292.66970286326432</v>
      </c>
      <c r="R34" s="11">
        <f t="shared" si="15"/>
        <v>302.88391907590841</v>
      </c>
      <c r="S34" s="11">
        <f t="shared" si="15"/>
        <v>312.78223268596082</v>
      </c>
      <c r="T34" s="11">
        <f t="shared" si="15"/>
        <v>322.38051049225498</v>
      </c>
      <c r="U34" s="11">
        <f t="shared" si="15"/>
        <v>331.69390266511152</v>
      </c>
      <c r="V34" s="11">
        <f t="shared" si="15"/>
        <v>340.73687626709108</v>
      </c>
      <c r="W34" s="11">
        <f t="shared" si="15"/>
        <v>349.52324719925298</v>
      </c>
    </row>
    <row r="35" spans="1:23" s="7" customFormat="1" x14ac:dyDescent="0.55000000000000004">
      <c r="A35" s="6"/>
      <c r="B35" s="7" t="str">
        <f t="shared" ref="B35:B36" si="16">B23</f>
        <v>Mid-Market</v>
      </c>
      <c r="F35" s="8" t="s">
        <v>31</v>
      </c>
      <c r="L35" s="11">
        <f t="shared" ref="L35:W35" si="17">L133</f>
        <v>134.41999999999999</v>
      </c>
      <c r="M35" s="11">
        <f t="shared" si="17"/>
        <v>168.77955200000002</v>
      </c>
      <c r="N35" s="11">
        <f t="shared" si="17"/>
        <v>204.37523363840006</v>
      </c>
      <c r="O35" s="11">
        <f t="shared" si="17"/>
        <v>241.27541007945737</v>
      </c>
      <c r="P35" s="11">
        <f t="shared" si="17"/>
        <v>279.55111286907896</v>
      </c>
      <c r="Q35" s="11">
        <f t="shared" si="17"/>
        <v>319.27615390993935</v>
      </c>
      <c r="R35" s="11">
        <f t="shared" si="17"/>
        <v>360.52724396354881</v>
      </c>
      <c r="S35" s="11">
        <f t="shared" si="17"/>
        <v>403.38411586318637</v>
      </c>
      <c r="T35" s="11">
        <f t="shared" si="17"/>
        <v>447.92965262895461</v>
      </c>
      <c r="U35" s="11">
        <f t="shared" si="17"/>
        <v>494.25002068384885</v>
      </c>
      <c r="V35" s="11">
        <f t="shared" si="17"/>
        <v>542.43480837767777</v>
      </c>
      <c r="W35" s="11">
        <f t="shared" si="17"/>
        <v>592.57717003393384</v>
      </c>
    </row>
    <row r="36" spans="1:23" s="7" customFormat="1" x14ac:dyDescent="0.55000000000000004">
      <c r="A36" s="6"/>
      <c r="B36" s="7" t="str">
        <f t="shared" si="16"/>
        <v>Enterprise</v>
      </c>
      <c r="F36" s="8" t="s">
        <v>31</v>
      </c>
      <c r="L36" s="11">
        <f t="shared" ref="L36:W36" si="18">L134</f>
        <v>128.13999999999999</v>
      </c>
      <c r="M36" s="11">
        <f t="shared" si="18"/>
        <v>179.53658999999996</v>
      </c>
      <c r="N36" s="11">
        <f t="shared" si="18"/>
        <v>236.06461890699998</v>
      </c>
      <c r="O36" s="11">
        <f t="shared" si="18"/>
        <v>298.21726483698507</v>
      </c>
      <c r="P36" s="11">
        <f t="shared" si="18"/>
        <v>366.52974293033031</v>
      </c>
      <c r="Q36" s="11">
        <f t="shared" si="18"/>
        <v>441.58269785972584</v>
      </c>
      <c r="R36" s="11">
        <f t="shared" si="18"/>
        <v>524.00586045065825</v>
      </c>
      <c r="S36" s="11">
        <f t="shared" si="18"/>
        <v>614.48198848233153</v>
      </c>
      <c r="T36" s="11">
        <f t="shared" si="18"/>
        <v>713.75111323535316</v>
      </c>
      <c r="U36" s="11">
        <f t="shared" si="18"/>
        <v>822.61511496139826</v>
      </c>
      <c r="V36" s="11">
        <f t="shared" si="18"/>
        <v>941.94265217746238</v>
      </c>
      <c r="W36" s="11">
        <f t="shared" si="18"/>
        <v>1072.6744715418615</v>
      </c>
    </row>
    <row r="37" spans="1:23" s="7" customFormat="1" x14ac:dyDescent="0.55000000000000004">
      <c r="A37" s="6"/>
      <c r="B37" s="43" t="s">
        <v>183</v>
      </c>
      <c r="C37" s="43"/>
      <c r="D37" s="43"/>
      <c r="E37" s="43"/>
      <c r="F37" s="57" t="s">
        <v>31</v>
      </c>
      <c r="G37" s="43"/>
      <c r="H37" s="43"/>
      <c r="I37" s="43"/>
      <c r="J37" s="43"/>
      <c r="K37" s="43"/>
      <c r="L37" s="58">
        <f>SUM(L34:L36)</f>
        <v>498.80999999999995</v>
      </c>
      <c r="M37" s="58">
        <f t="shared" ref="M37:W37" si="19">SUM(M34:M36)</f>
        <v>596.62551699999995</v>
      </c>
      <c r="N37" s="58">
        <f t="shared" si="19"/>
        <v>700.40132285790003</v>
      </c>
      <c r="O37" s="58">
        <f t="shared" si="19"/>
        <v>810.71897443128614</v>
      </c>
      <c r="P37" s="58">
        <f t="shared" si="19"/>
        <v>928.20382124640173</v>
      </c>
      <c r="Q37" s="58">
        <f t="shared" si="19"/>
        <v>1053.5285546329296</v>
      </c>
      <c r="R37" s="58">
        <f t="shared" si="19"/>
        <v>1187.4170234901155</v>
      </c>
      <c r="S37" s="58">
        <f t="shared" si="19"/>
        <v>1330.6483370314786</v>
      </c>
      <c r="T37" s="58">
        <f t="shared" si="19"/>
        <v>1484.0612763565628</v>
      </c>
      <c r="U37" s="58">
        <f t="shared" si="19"/>
        <v>1648.5590383103586</v>
      </c>
      <c r="V37" s="58">
        <f t="shared" si="19"/>
        <v>1825.1143368222313</v>
      </c>
      <c r="W37" s="58">
        <f t="shared" si="19"/>
        <v>2014.7748887750483</v>
      </c>
    </row>
    <row r="38" spans="1:23" s="7" customFormat="1" x14ac:dyDescent="0.55000000000000004">
      <c r="A38" s="6"/>
      <c r="F38" s="8"/>
    </row>
    <row r="39" spans="1:23" s="7" customFormat="1" x14ac:dyDescent="0.55000000000000004">
      <c r="A39" s="6"/>
      <c r="B39" s="3" t="s">
        <v>20</v>
      </c>
      <c r="F39" s="8"/>
    </row>
    <row r="40" spans="1:23" s="7" customFormat="1" x14ac:dyDescent="0.55000000000000004">
      <c r="A40" s="6"/>
      <c r="B40" s="7" t="str">
        <f>B28</f>
        <v>SMB</v>
      </c>
      <c r="F40" s="8" t="s">
        <v>31</v>
      </c>
      <c r="L40" s="11">
        <f>L140</f>
        <v>2835</v>
      </c>
      <c r="M40" s="11">
        <f t="shared" ref="M40:W40" si="20">M140</f>
        <v>2979.7124999999996</v>
      </c>
      <c r="N40" s="11">
        <f t="shared" si="20"/>
        <v>3119.5376437499995</v>
      </c>
      <c r="O40" s="11">
        <f t="shared" si="20"/>
        <v>3254.7155941781239</v>
      </c>
      <c r="P40" s="11">
        <f t="shared" si="20"/>
        <v>3385.4755853639099</v>
      </c>
      <c r="Q40" s="11">
        <f t="shared" si="20"/>
        <v>3512.0364343591718</v>
      </c>
      <c r="R40" s="11">
        <f t="shared" si="20"/>
        <v>3634.6070289109011</v>
      </c>
      <c r="S40" s="11">
        <f t="shared" si="20"/>
        <v>3753.3867922315299</v>
      </c>
      <c r="T40" s="11">
        <f t="shared" si="20"/>
        <v>3868.5661259070598</v>
      </c>
      <c r="U40" s="11">
        <f t="shared" si="20"/>
        <v>3980.3268319813383</v>
      </c>
      <c r="V40" s="11">
        <f t="shared" si="20"/>
        <v>4088.8425152050932</v>
      </c>
      <c r="W40" s="11">
        <f t="shared" si="20"/>
        <v>4194.2789663910353</v>
      </c>
    </row>
    <row r="41" spans="1:23" s="7" customFormat="1" x14ac:dyDescent="0.55000000000000004">
      <c r="A41" s="6"/>
      <c r="B41" s="7" t="str">
        <f t="shared" ref="B41:B42" si="21">B29</f>
        <v>Mid-Market</v>
      </c>
      <c r="F41" s="8" t="s">
        <v>31</v>
      </c>
      <c r="L41" s="11">
        <f t="shared" ref="L41:W41" si="22">L141</f>
        <v>1613.04</v>
      </c>
      <c r="M41" s="11">
        <f t="shared" si="22"/>
        <v>2025.3546240000003</v>
      </c>
      <c r="N41" s="11">
        <f t="shared" si="22"/>
        <v>2452.502803660801</v>
      </c>
      <c r="O41" s="11">
        <f t="shared" si="22"/>
        <v>2895.3049209534884</v>
      </c>
      <c r="P41" s="11">
        <f t="shared" si="22"/>
        <v>3354.6133544289478</v>
      </c>
      <c r="Q41" s="11">
        <f t="shared" si="22"/>
        <v>3831.3138469192722</v>
      </c>
      <c r="R41" s="11">
        <f t="shared" si="22"/>
        <v>4326.3269275625862</v>
      </c>
      <c r="S41" s="11">
        <f t="shared" si="22"/>
        <v>4840.6093903582369</v>
      </c>
      <c r="T41" s="11">
        <f t="shared" si="22"/>
        <v>5375.1558315474558</v>
      </c>
      <c r="U41" s="11">
        <f t="shared" si="22"/>
        <v>5931.0002482061864</v>
      </c>
      <c r="V41" s="11">
        <f t="shared" si="22"/>
        <v>6509.2177005321337</v>
      </c>
      <c r="W41" s="11">
        <f t="shared" si="22"/>
        <v>7110.9260404072065</v>
      </c>
    </row>
    <row r="42" spans="1:23" s="7" customFormat="1" x14ac:dyDescent="0.55000000000000004">
      <c r="A42" s="6"/>
      <c r="B42" s="7" t="str">
        <f t="shared" si="21"/>
        <v>Enterprise</v>
      </c>
      <c r="F42" s="8" t="s">
        <v>31</v>
      </c>
      <c r="L42" s="11">
        <f t="shared" ref="L42:W42" si="23">L142</f>
        <v>1537.6799999999998</v>
      </c>
      <c r="M42" s="11">
        <f t="shared" si="23"/>
        <v>2154.4390799999996</v>
      </c>
      <c r="N42" s="11">
        <f t="shared" si="23"/>
        <v>2832.7754268839999</v>
      </c>
      <c r="O42" s="11">
        <f t="shared" si="23"/>
        <v>3578.6071780438206</v>
      </c>
      <c r="P42" s="11">
        <f t="shared" si="23"/>
        <v>4398.356915163964</v>
      </c>
      <c r="Q42" s="11">
        <f t="shared" si="23"/>
        <v>5298.9923743167101</v>
      </c>
      <c r="R42" s="11">
        <f t="shared" si="23"/>
        <v>6288.070325407899</v>
      </c>
      <c r="S42" s="11">
        <f t="shared" si="23"/>
        <v>7373.7838617879788</v>
      </c>
      <c r="T42" s="11">
        <f t="shared" si="23"/>
        <v>8565.0133588242388</v>
      </c>
      <c r="U42" s="11">
        <f t="shared" si="23"/>
        <v>9871.3813795367787</v>
      </c>
      <c r="V42" s="11">
        <f t="shared" si="23"/>
        <v>11303.311826129549</v>
      </c>
      <c r="W42" s="11">
        <f t="shared" si="23"/>
        <v>12872.093658502337</v>
      </c>
    </row>
    <row r="43" spans="1:23" s="7" customFormat="1" x14ac:dyDescent="0.55000000000000004">
      <c r="A43" s="6"/>
      <c r="B43" s="43" t="s">
        <v>183</v>
      </c>
      <c r="C43" s="43"/>
      <c r="D43" s="43"/>
      <c r="E43" s="43"/>
      <c r="F43" s="57" t="s">
        <v>31</v>
      </c>
      <c r="G43" s="43"/>
      <c r="H43" s="43"/>
      <c r="I43" s="43"/>
      <c r="J43" s="43"/>
      <c r="K43" s="43"/>
      <c r="L43" s="58">
        <f>SUM(L40:L42)</f>
        <v>5985.7199999999993</v>
      </c>
      <c r="M43" s="58">
        <f t="shared" ref="M43:W43" si="24">SUM(M40:M42)</f>
        <v>7159.5062039999993</v>
      </c>
      <c r="N43" s="58">
        <f t="shared" si="24"/>
        <v>8404.8158742947999</v>
      </c>
      <c r="O43" s="58">
        <f t="shared" si="24"/>
        <v>9728.6276931754328</v>
      </c>
      <c r="P43" s="58">
        <f t="shared" si="24"/>
        <v>11138.445854956823</v>
      </c>
      <c r="Q43" s="58">
        <f t="shared" si="24"/>
        <v>12642.342655595156</v>
      </c>
      <c r="R43" s="58">
        <f t="shared" si="24"/>
        <v>14249.004281881385</v>
      </c>
      <c r="S43" s="58">
        <f t="shared" si="24"/>
        <v>15967.780044377745</v>
      </c>
      <c r="T43" s="58">
        <f t="shared" si="24"/>
        <v>17808.735316278755</v>
      </c>
      <c r="U43" s="58">
        <f t="shared" si="24"/>
        <v>19782.708459724301</v>
      </c>
      <c r="V43" s="58">
        <f t="shared" si="24"/>
        <v>21901.372041866776</v>
      </c>
      <c r="W43" s="58">
        <f t="shared" si="24"/>
        <v>24177.298665300579</v>
      </c>
    </row>
    <row r="44" spans="1:23" s="7" customFormat="1" x14ac:dyDescent="0.55000000000000004">
      <c r="A44" s="6"/>
      <c r="F44" s="8"/>
    </row>
    <row r="45" spans="1:23" s="7" customFormat="1" ht="14.4" x14ac:dyDescent="0.55000000000000004">
      <c r="A45" s="163" t="s">
        <v>0</v>
      </c>
      <c r="B45" s="198" t="s">
        <v>189</v>
      </c>
      <c r="C45" s="202"/>
      <c r="D45" s="202"/>
      <c r="E45" s="202"/>
      <c r="F45" s="203"/>
      <c r="G45" s="202"/>
      <c r="H45" s="202"/>
      <c r="I45" s="202"/>
      <c r="J45" s="202"/>
      <c r="K45" s="202"/>
      <c r="L45" s="202"/>
      <c r="M45" s="202"/>
      <c r="N45" s="202"/>
      <c r="O45" s="202"/>
      <c r="P45" s="202"/>
      <c r="Q45" s="202"/>
      <c r="R45" s="202"/>
      <c r="S45" s="202"/>
      <c r="T45" s="202"/>
      <c r="U45" s="202"/>
      <c r="V45" s="202"/>
      <c r="W45" s="202"/>
    </row>
    <row r="47" spans="1:23" x14ac:dyDescent="0.5">
      <c r="B47" s="70" t="s">
        <v>188</v>
      </c>
      <c r="C47" s="71"/>
      <c r="D47" s="71"/>
      <c r="E47" s="71"/>
      <c r="F47" s="72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</row>
    <row r="49" spans="2:23" x14ac:dyDescent="0.5">
      <c r="B49" s="2" t="s">
        <v>43</v>
      </c>
      <c r="F49" s="62" t="s">
        <v>14</v>
      </c>
      <c r="L49" s="63">
        <f>INP!L12</f>
        <v>1</v>
      </c>
      <c r="M49" s="63">
        <f>INP!M12</f>
        <v>0</v>
      </c>
      <c r="N49" s="63">
        <f>INP!N12</f>
        <v>0</v>
      </c>
      <c r="O49" s="63">
        <f>INP!O12</f>
        <v>0</v>
      </c>
      <c r="P49" s="63">
        <f>INP!P12</f>
        <v>0</v>
      </c>
      <c r="Q49" s="63">
        <f>INP!Q12</f>
        <v>0</v>
      </c>
      <c r="R49" s="63">
        <f>INP!R12</f>
        <v>0</v>
      </c>
      <c r="S49" s="63">
        <f>INP!S12</f>
        <v>0</v>
      </c>
      <c r="T49" s="63">
        <f>INP!T12</f>
        <v>0</v>
      </c>
      <c r="U49" s="63">
        <f>INP!U12</f>
        <v>0</v>
      </c>
      <c r="V49" s="63">
        <f>INP!V12</f>
        <v>0</v>
      </c>
      <c r="W49" s="63">
        <f>INP!W12</f>
        <v>0</v>
      </c>
    </row>
    <row r="51" spans="2:23" x14ac:dyDescent="0.5">
      <c r="B51" s="77" t="s">
        <v>184</v>
      </c>
    </row>
    <row r="52" spans="2:23" x14ac:dyDescent="0.5">
      <c r="B52" s="2" t="str">
        <f>INP!$H$21</f>
        <v>SMB</v>
      </c>
      <c r="F52" s="62" t="s">
        <v>15</v>
      </c>
      <c r="H52" s="84">
        <f>INP!H22</f>
        <v>500</v>
      </c>
      <c r="L52" s="75">
        <f t="shared" ref="L52:W52" si="25">$H52*L$49+K70</f>
        <v>500</v>
      </c>
      <c r="M52" s="75">
        <f t="shared" si="25"/>
        <v>525</v>
      </c>
      <c r="N52" s="75">
        <f t="shared" si="25"/>
        <v>548.75</v>
      </c>
      <c r="O52" s="75">
        <f t="shared" si="25"/>
        <v>571.3125</v>
      </c>
      <c r="P52" s="75">
        <f t="shared" si="25"/>
        <v>592.74687500000005</v>
      </c>
      <c r="Q52" s="75">
        <f t="shared" si="25"/>
        <v>613.10953125000003</v>
      </c>
      <c r="R52" s="75">
        <f t="shared" si="25"/>
        <v>632.45405468750005</v>
      </c>
      <c r="S52" s="75">
        <f t="shared" si="25"/>
        <v>650.83135195312502</v>
      </c>
      <c r="T52" s="75">
        <f t="shared" si="25"/>
        <v>668.28978435546878</v>
      </c>
      <c r="U52" s="75">
        <f t="shared" si="25"/>
        <v>684.87529513769539</v>
      </c>
      <c r="V52" s="75">
        <f t="shared" si="25"/>
        <v>700.63153038081066</v>
      </c>
      <c r="W52" s="75">
        <f t="shared" si="25"/>
        <v>715.59995386177013</v>
      </c>
    </row>
    <row r="53" spans="2:23" x14ac:dyDescent="0.5">
      <c r="B53" s="2" t="str">
        <f>INP!$I$21</f>
        <v>Mid-Market</v>
      </c>
      <c r="F53" s="62" t="s">
        <v>15</v>
      </c>
      <c r="H53" s="84">
        <f>INP!I22</f>
        <v>80</v>
      </c>
      <c r="L53" s="75">
        <f t="shared" ref="L53:W53" si="26">$H53*L$49+K71</f>
        <v>80</v>
      </c>
      <c r="M53" s="75">
        <f t="shared" si="26"/>
        <v>103.4</v>
      </c>
      <c r="N53" s="75">
        <f t="shared" si="26"/>
        <v>126.33200000000001</v>
      </c>
      <c r="O53" s="75">
        <f t="shared" si="26"/>
        <v>148.80536000000001</v>
      </c>
      <c r="P53" s="75">
        <f t="shared" si="26"/>
        <v>170.82925280000001</v>
      </c>
      <c r="Q53" s="75">
        <f t="shared" si="26"/>
        <v>192.412667744</v>
      </c>
      <c r="R53" s="75">
        <f t="shared" si="26"/>
        <v>213.56441438912</v>
      </c>
      <c r="S53" s="75">
        <f t="shared" si="26"/>
        <v>234.29312610133761</v>
      </c>
      <c r="T53" s="75">
        <f t="shared" si="26"/>
        <v>254.60726357931088</v>
      </c>
      <c r="U53" s="75">
        <f t="shared" si="26"/>
        <v>274.51511830772466</v>
      </c>
      <c r="V53" s="75">
        <f t="shared" si="26"/>
        <v>294.02481594157018</v>
      </c>
      <c r="W53" s="75">
        <f t="shared" si="26"/>
        <v>313.14431962273881</v>
      </c>
    </row>
    <row r="54" spans="2:23" x14ac:dyDescent="0.5">
      <c r="B54" s="2" t="str">
        <f>INP!$J$21</f>
        <v>Enterprise</v>
      </c>
      <c r="F54" s="62" t="s">
        <v>15</v>
      </c>
      <c r="H54" s="84">
        <f>INP!J22</f>
        <v>20</v>
      </c>
      <c r="L54" s="75">
        <f t="shared" ref="L54:W54" si="27">$H54*L$49+K72</f>
        <v>20</v>
      </c>
      <c r="M54" s="75">
        <f t="shared" si="27"/>
        <v>29.8</v>
      </c>
      <c r="N54" s="75">
        <f t="shared" si="27"/>
        <v>39.501999999999995</v>
      </c>
      <c r="O54" s="75">
        <f t="shared" si="27"/>
        <v>49.106979999999993</v>
      </c>
      <c r="P54" s="75">
        <f t="shared" si="27"/>
        <v>58.615910199999995</v>
      </c>
      <c r="Q54" s="75">
        <f t="shared" si="27"/>
        <v>68.029751098000006</v>
      </c>
      <c r="R54" s="75">
        <f t="shared" si="27"/>
        <v>77.349453587020008</v>
      </c>
      <c r="S54" s="75">
        <f t="shared" si="27"/>
        <v>86.575959051149809</v>
      </c>
      <c r="T54" s="75">
        <f t="shared" si="27"/>
        <v>95.710199460638307</v>
      </c>
      <c r="U54" s="75">
        <f t="shared" si="27"/>
        <v>104.75309746603192</v>
      </c>
      <c r="V54" s="75">
        <f t="shared" si="27"/>
        <v>113.7055664913716</v>
      </c>
      <c r="W54" s="75">
        <f t="shared" si="27"/>
        <v>122.56851082645788</v>
      </c>
    </row>
    <row r="55" spans="2:23" x14ac:dyDescent="0.5">
      <c r="B55" s="80" t="s">
        <v>183</v>
      </c>
      <c r="C55" s="80"/>
      <c r="D55" s="80"/>
      <c r="E55" s="80"/>
      <c r="F55" s="81" t="s">
        <v>15</v>
      </c>
      <c r="G55" s="80"/>
      <c r="H55" s="85"/>
      <c r="I55" s="80"/>
      <c r="J55" s="80"/>
      <c r="K55" s="80"/>
      <c r="L55" s="82">
        <f>SUM(L52:L54)</f>
        <v>600</v>
      </c>
      <c r="M55" s="82">
        <f t="shared" ref="M55:W55" si="28">SUM(M52:M54)</f>
        <v>658.19999999999993</v>
      </c>
      <c r="N55" s="82">
        <f t="shared" si="28"/>
        <v>714.58399999999995</v>
      </c>
      <c r="O55" s="82">
        <f t="shared" si="28"/>
        <v>769.22484000000009</v>
      </c>
      <c r="P55" s="82">
        <f t="shared" si="28"/>
        <v>822.19203800000003</v>
      </c>
      <c r="Q55" s="82">
        <f t="shared" si="28"/>
        <v>873.55195009200008</v>
      </c>
      <c r="R55" s="82">
        <f t="shared" si="28"/>
        <v>923.36792266364</v>
      </c>
      <c r="S55" s="82">
        <f t="shared" si="28"/>
        <v>971.70043710561242</v>
      </c>
      <c r="T55" s="82">
        <f t="shared" si="28"/>
        <v>1018.607247395418</v>
      </c>
      <c r="U55" s="82">
        <f t="shared" si="28"/>
        <v>1064.143510911452</v>
      </c>
      <c r="V55" s="82">
        <f t="shared" si="28"/>
        <v>1108.3619128137525</v>
      </c>
      <c r="W55" s="82">
        <f t="shared" si="28"/>
        <v>1151.3127843109669</v>
      </c>
    </row>
    <row r="56" spans="2:23" x14ac:dyDescent="0.5">
      <c r="H56" s="86"/>
      <c r="L56" s="75"/>
    </row>
    <row r="57" spans="2:23" x14ac:dyDescent="0.5">
      <c r="B57" s="77" t="s">
        <v>187</v>
      </c>
      <c r="H57" s="86"/>
      <c r="L57" s="75"/>
    </row>
    <row r="58" spans="2:23" x14ac:dyDescent="0.5">
      <c r="B58" s="2" t="str">
        <f>INP!$H$21</f>
        <v>SMB</v>
      </c>
      <c r="F58" s="62" t="str">
        <f>$F$52</f>
        <v>#</v>
      </c>
      <c r="H58" s="84">
        <f>INP!H23</f>
        <v>50</v>
      </c>
      <c r="L58" s="75">
        <f>$H58</f>
        <v>50</v>
      </c>
      <c r="M58" s="2">
        <f t="shared" ref="M58:W60" si="29">$H58</f>
        <v>50</v>
      </c>
      <c r="N58" s="2">
        <f t="shared" si="29"/>
        <v>50</v>
      </c>
      <c r="O58" s="2">
        <f t="shared" si="29"/>
        <v>50</v>
      </c>
      <c r="P58" s="2">
        <f t="shared" si="29"/>
        <v>50</v>
      </c>
      <c r="Q58" s="2">
        <f t="shared" si="29"/>
        <v>50</v>
      </c>
      <c r="R58" s="2">
        <f t="shared" si="29"/>
        <v>50</v>
      </c>
      <c r="S58" s="2">
        <f t="shared" si="29"/>
        <v>50</v>
      </c>
      <c r="T58" s="2">
        <f t="shared" si="29"/>
        <v>50</v>
      </c>
      <c r="U58" s="2">
        <f t="shared" si="29"/>
        <v>50</v>
      </c>
      <c r="V58" s="2">
        <f t="shared" si="29"/>
        <v>50</v>
      </c>
      <c r="W58" s="2">
        <f t="shared" si="29"/>
        <v>50</v>
      </c>
    </row>
    <row r="59" spans="2:23" x14ac:dyDescent="0.5">
      <c r="B59" s="2" t="str">
        <f>INP!$I$21</f>
        <v>Mid-Market</v>
      </c>
      <c r="F59" s="62" t="str">
        <f>$F$53</f>
        <v>#</v>
      </c>
      <c r="H59" s="84">
        <f>INP!I23</f>
        <v>25</v>
      </c>
      <c r="L59" s="75">
        <f t="shared" ref="L59:L60" si="30">$H59</f>
        <v>25</v>
      </c>
      <c r="M59" s="2">
        <f t="shared" si="29"/>
        <v>25</v>
      </c>
      <c r="N59" s="2">
        <f t="shared" si="29"/>
        <v>25</v>
      </c>
      <c r="O59" s="2">
        <f t="shared" si="29"/>
        <v>25</v>
      </c>
      <c r="P59" s="2">
        <f t="shared" si="29"/>
        <v>25</v>
      </c>
      <c r="Q59" s="2">
        <f t="shared" si="29"/>
        <v>25</v>
      </c>
      <c r="R59" s="2">
        <f t="shared" si="29"/>
        <v>25</v>
      </c>
      <c r="S59" s="2">
        <f t="shared" si="29"/>
        <v>25</v>
      </c>
      <c r="T59" s="2">
        <f t="shared" si="29"/>
        <v>25</v>
      </c>
      <c r="U59" s="2">
        <f t="shared" si="29"/>
        <v>25</v>
      </c>
      <c r="V59" s="2">
        <f t="shared" si="29"/>
        <v>25</v>
      </c>
      <c r="W59" s="2">
        <f t="shared" si="29"/>
        <v>25</v>
      </c>
    </row>
    <row r="60" spans="2:23" x14ac:dyDescent="0.5">
      <c r="B60" s="2" t="str">
        <f>INP!$J$21</f>
        <v>Enterprise</v>
      </c>
      <c r="F60" s="62" t="str">
        <f>$F$54</f>
        <v>#</v>
      </c>
      <c r="H60" s="84">
        <f>INP!J23</f>
        <v>10</v>
      </c>
      <c r="L60" s="75">
        <f t="shared" si="30"/>
        <v>10</v>
      </c>
      <c r="M60" s="2">
        <f t="shared" si="29"/>
        <v>10</v>
      </c>
      <c r="N60" s="2">
        <f t="shared" si="29"/>
        <v>10</v>
      </c>
      <c r="O60" s="2">
        <f t="shared" si="29"/>
        <v>10</v>
      </c>
      <c r="P60" s="2">
        <f t="shared" si="29"/>
        <v>10</v>
      </c>
      <c r="Q60" s="2">
        <f t="shared" si="29"/>
        <v>10</v>
      </c>
      <c r="R60" s="2">
        <f t="shared" si="29"/>
        <v>10</v>
      </c>
      <c r="S60" s="2">
        <f t="shared" si="29"/>
        <v>10</v>
      </c>
      <c r="T60" s="2">
        <f t="shared" si="29"/>
        <v>10</v>
      </c>
      <c r="U60" s="2">
        <f t="shared" si="29"/>
        <v>10</v>
      </c>
      <c r="V60" s="2">
        <f t="shared" si="29"/>
        <v>10</v>
      </c>
      <c r="W60" s="2">
        <f t="shared" si="29"/>
        <v>10</v>
      </c>
    </row>
    <row r="61" spans="2:23" x14ac:dyDescent="0.5">
      <c r="B61" s="80" t="s">
        <v>183</v>
      </c>
      <c r="C61" s="80"/>
      <c r="D61" s="80"/>
      <c r="E61" s="80"/>
      <c r="F61" s="81" t="str">
        <f>$F$55</f>
        <v>#</v>
      </c>
      <c r="G61" s="80"/>
      <c r="H61" s="80"/>
      <c r="I61" s="80"/>
      <c r="J61" s="80"/>
      <c r="K61" s="80"/>
      <c r="L61" s="82">
        <f>SUM(L58:L60)</f>
        <v>85</v>
      </c>
      <c r="M61" s="80">
        <f t="shared" ref="M61:W61" si="31">SUM(M58:M60)</f>
        <v>85</v>
      </c>
      <c r="N61" s="80">
        <f t="shared" si="31"/>
        <v>85</v>
      </c>
      <c r="O61" s="80">
        <f t="shared" si="31"/>
        <v>85</v>
      </c>
      <c r="P61" s="80">
        <f t="shared" si="31"/>
        <v>85</v>
      </c>
      <c r="Q61" s="80">
        <f t="shared" si="31"/>
        <v>85</v>
      </c>
      <c r="R61" s="80">
        <f t="shared" si="31"/>
        <v>85</v>
      </c>
      <c r="S61" s="80">
        <f t="shared" si="31"/>
        <v>85</v>
      </c>
      <c r="T61" s="80">
        <f t="shared" si="31"/>
        <v>85</v>
      </c>
      <c r="U61" s="80">
        <f t="shared" si="31"/>
        <v>85</v>
      </c>
      <c r="V61" s="80">
        <f t="shared" si="31"/>
        <v>85</v>
      </c>
      <c r="W61" s="80">
        <f t="shared" si="31"/>
        <v>85</v>
      </c>
    </row>
    <row r="62" spans="2:23" x14ac:dyDescent="0.5">
      <c r="L62" s="75"/>
    </row>
    <row r="63" spans="2:23" x14ac:dyDescent="0.5">
      <c r="B63" s="77" t="s">
        <v>186</v>
      </c>
      <c r="L63" s="75"/>
    </row>
    <row r="64" spans="2:23" x14ac:dyDescent="0.5">
      <c r="B64" s="2" t="str">
        <f>INP!$H$21</f>
        <v>SMB</v>
      </c>
      <c r="F64" s="62" t="str">
        <f>$F$52</f>
        <v>#</v>
      </c>
      <c r="H64" s="59">
        <f>INP!H27</f>
        <v>0.05</v>
      </c>
      <c r="L64" s="75">
        <f t="shared" ref="L64:W64" si="32">-$H64*L52</f>
        <v>-25</v>
      </c>
      <c r="M64" s="75">
        <f t="shared" si="32"/>
        <v>-26.25</v>
      </c>
      <c r="N64" s="75">
        <f t="shared" si="32"/>
        <v>-27.4375</v>
      </c>
      <c r="O64" s="75">
        <f t="shared" si="32"/>
        <v>-28.565625000000001</v>
      </c>
      <c r="P64" s="75">
        <f t="shared" si="32"/>
        <v>-29.637343750000003</v>
      </c>
      <c r="Q64" s="75">
        <f t="shared" si="32"/>
        <v>-30.655476562500002</v>
      </c>
      <c r="R64" s="75">
        <f t="shared" si="32"/>
        <v>-31.622702734375004</v>
      </c>
      <c r="S64" s="75">
        <f t="shared" si="32"/>
        <v>-32.541567597656254</v>
      </c>
      <c r="T64" s="75">
        <f t="shared" si="32"/>
        <v>-33.414489217773443</v>
      </c>
      <c r="U64" s="75">
        <f t="shared" si="32"/>
        <v>-34.243764756884772</v>
      </c>
      <c r="V64" s="75">
        <f t="shared" si="32"/>
        <v>-35.031576519040534</v>
      </c>
      <c r="W64" s="75">
        <f t="shared" si="32"/>
        <v>-35.779997693088511</v>
      </c>
    </row>
    <row r="65" spans="1:23" x14ac:dyDescent="0.5">
      <c r="B65" s="2" t="str">
        <f>INP!$I$21</f>
        <v>Mid-Market</v>
      </c>
      <c r="F65" s="62" t="str">
        <f>$F$53</f>
        <v>#</v>
      </c>
      <c r="H65" s="59">
        <f>INP!I27</f>
        <v>0.02</v>
      </c>
      <c r="L65" s="75">
        <f t="shared" ref="L65:W65" si="33">-$H65*L53</f>
        <v>-1.6</v>
      </c>
      <c r="M65" s="75">
        <f t="shared" si="33"/>
        <v>-2.0680000000000001</v>
      </c>
      <c r="N65" s="75">
        <f t="shared" si="33"/>
        <v>-2.52664</v>
      </c>
      <c r="O65" s="75">
        <f t="shared" si="33"/>
        <v>-2.9761072000000004</v>
      </c>
      <c r="P65" s="75">
        <f t="shared" si="33"/>
        <v>-3.4165850560000002</v>
      </c>
      <c r="Q65" s="75">
        <f t="shared" si="33"/>
        <v>-3.8482533548800002</v>
      </c>
      <c r="R65" s="75">
        <f t="shared" si="33"/>
        <v>-4.2712882877823999</v>
      </c>
      <c r="S65" s="75">
        <f t="shared" si="33"/>
        <v>-4.6858625220267518</v>
      </c>
      <c r="T65" s="75">
        <f t="shared" si="33"/>
        <v>-5.0921452715862179</v>
      </c>
      <c r="U65" s="75">
        <f t="shared" si="33"/>
        <v>-5.4903023661544932</v>
      </c>
      <c r="V65" s="75">
        <f t="shared" si="33"/>
        <v>-5.8804963188314039</v>
      </c>
      <c r="W65" s="75">
        <f t="shared" si="33"/>
        <v>-6.2628863924547762</v>
      </c>
    </row>
    <row r="66" spans="1:23" x14ac:dyDescent="0.5">
      <c r="B66" s="2" t="str">
        <f>INP!$J$21</f>
        <v>Enterprise</v>
      </c>
      <c r="F66" s="62" t="str">
        <f>$F$54</f>
        <v>#</v>
      </c>
      <c r="H66" s="59">
        <f>INP!J27</f>
        <v>0.01</v>
      </c>
      <c r="L66" s="75">
        <f t="shared" ref="L66:W66" si="34">-$H66*L54</f>
        <v>-0.2</v>
      </c>
      <c r="M66" s="75">
        <f t="shared" si="34"/>
        <v>-0.29799999999999999</v>
      </c>
      <c r="N66" s="75">
        <f t="shared" si="34"/>
        <v>-0.39501999999999998</v>
      </c>
      <c r="O66" s="75">
        <f t="shared" si="34"/>
        <v>-0.49106979999999995</v>
      </c>
      <c r="P66" s="75">
        <f t="shared" si="34"/>
        <v>-0.58615910199999999</v>
      </c>
      <c r="Q66" s="75">
        <f t="shared" si="34"/>
        <v>-0.68029751098000002</v>
      </c>
      <c r="R66" s="75">
        <f t="shared" si="34"/>
        <v>-0.77349453587020012</v>
      </c>
      <c r="S66" s="75">
        <f t="shared" si="34"/>
        <v>-0.86575959051149809</v>
      </c>
      <c r="T66" s="75">
        <f t="shared" si="34"/>
        <v>-0.95710199460638312</v>
      </c>
      <c r="U66" s="75">
        <f t="shared" si="34"/>
        <v>-1.0475309746603192</v>
      </c>
      <c r="V66" s="75">
        <f t="shared" si="34"/>
        <v>-1.137055664913716</v>
      </c>
      <c r="W66" s="75">
        <f t="shared" si="34"/>
        <v>-1.2256851082645788</v>
      </c>
    </row>
    <row r="67" spans="1:23" x14ac:dyDescent="0.5">
      <c r="B67" s="80" t="s">
        <v>183</v>
      </c>
      <c r="C67" s="80"/>
      <c r="D67" s="80"/>
      <c r="E67" s="80"/>
      <c r="F67" s="81" t="str">
        <f>$F$55</f>
        <v>#</v>
      </c>
      <c r="G67" s="80"/>
      <c r="H67" s="80"/>
      <c r="I67" s="80"/>
      <c r="J67" s="80"/>
      <c r="K67" s="80"/>
      <c r="L67" s="82">
        <f>SUM(L64:L66)</f>
        <v>-26.8</v>
      </c>
      <c r="M67" s="82">
        <f t="shared" ref="M67:W67" si="35">SUM(M64:M66)</f>
        <v>-28.616</v>
      </c>
      <c r="N67" s="82">
        <f t="shared" si="35"/>
        <v>-30.359159999999999</v>
      </c>
      <c r="O67" s="82">
        <f t="shared" si="35"/>
        <v>-32.032802000000004</v>
      </c>
      <c r="P67" s="82">
        <f t="shared" si="35"/>
        <v>-33.640087908000005</v>
      </c>
      <c r="Q67" s="82">
        <f t="shared" si="35"/>
        <v>-35.184027428359997</v>
      </c>
      <c r="R67" s="82">
        <f t="shared" si="35"/>
        <v>-36.6674855580276</v>
      </c>
      <c r="S67" s="82">
        <f t="shared" si="35"/>
        <v>-38.093189710194508</v>
      </c>
      <c r="T67" s="82">
        <f t="shared" si="35"/>
        <v>-39.463736483966045</v>
      </c>
      <c r="U67" s="82">
        <f t="shared" si="35"/>
        <v>-40.781598097699586</v>
      </c>
      <c r="V67" s="82">
        <f t="shared" si="35"/>
        <v>-42.049128502785656</v>
      </c>
      <c r="W67" s="82">
        <f t="shared" si="35"/>
        <v>-43.268569193807863</v>
      </c>
    </row>
    <row r="68" spans="1:23" x14ac:dyDescent="0.5">
      <c r="L68" s="87"/>
    </row>
    <row r="69" spans="1:23" x14ac:dyDescent="0.5">
      <c r="B69" s="77" t="s">
        <v>185</v>
      </c>
      <c r="L69" s="87"/>
    </row>
    <row r="70" spans="1:23" x14ac:dyDescent="0.5">
      <c r="B70" s="2" t="str">
        <f>INP!$H$21</f>
        <v>SMB</v>
      </c>
      <c r="F70" s="62" t="str">
        <f>$F$52</f>
        <v>#</v>
      </c>
      <c r="L70" s="75">
        <f>SUM(L52,L58,L64)</f>
        <v>525</v>
      </c>
      <c r="M70" s="75">
        <f t="shared" ref="M70:W70" si="36">SUM(M52,M58,M64)</f>
        <v>548.75</v>
      </c>
      <c r="N70" s="75">
        <f t="shared" si="36"/>
        <v>571.3125</v>
      </c>
      <c r="O70" s="75">
        <f t="shared" si="36"/>
        <v>592.74687500000005</v>
      </c>
      <c r="P70" s="75">
        <f t="shared" si="36"/>
        <v>613.10953125000003</v>
      </c>
      <c r="Q70" s="75">
        <f t="shared" si="36"/>
        <v>632.45405468750005</v>
      </c>
      <c r="R70" s="75">
        <f t="shared" si="36"/>
        <v>650.83135195312502</v>
      </c>
      <c r="S70" s="75">
        <f t="shared" si="36"/>
        <v>668.28978435546878</v>
      </c>
      <c r="T70" s="75">
        <f t="shared" si="36"/>
        <v>684.87529513769539</v>
      </c>
      <c r="U70" s="75">
        <f t="shared" si="36"/>
        <v>700.63153038081066</v>
      </c>
      <c r="V70" s="75">
        <f t="shared" si="36"/>
        <v>715.59995386177013</v>
      </c>
      <c r="W70" s="75">
        <f t="shared" si="36"/>
        <v>729.81995616868164</v>
      </c>
    </row>
    <row r="71" spans="1:23" x14ac:dyDescent="0.5">
      <c r="B71" s="2" t="str">
        <f>INP!$I$21</f>
        <v>Mid-Market</v>
      </c>
      <c r="F71" s="62" t="str">
        <f>$F$53</f>
        <v>#</v>
      </c>
      <c r="L71" s="75">
        <f t="shared" ref="L71:W71" si="37">SUM(L53,L59,L65)</f>
        <v>103.4</v>
      </c>
      <c r="M71" s="75">
        <f t="shared" si="37"/>
        <v>126.33200000000001</v>
      </c>
      <c r="N71" s="75">
        <f t="shared" si="37"/>
        <v>148.80536000000001</v>
      </c>
      <c r="O71" s="75">
        <f t="shared" si="37"/>
        <v>170.82925280000001</v>
      </c>
      <c r="P71" s="75">
        <f t="shared" si="37"/>
        <v>192.412667744</v>
      </c>
      <c r="Q71" s="75">
        <f t="shared" si="37"/>
        <v>213.56441438912</v>
      </c>
      <c r="R71" s="75">
        <f t="shared" si="37"/>
        <v>234.29312610133761</v>
      </c>
      <c r="S71" s="75">
        <f t="shared" si="37"/>
        <v>254.60726357931088</v>
      </c>
      <c r="T71" s="75">
        <f t="shared" si="37"/>
        <v>274.51511830772466</v>
      </c>
      <c r="U71" s="75">
        <f t="shared" si="37"/>
        <v>294.02481594157018</v>
      </c>
      <c r="V71" s="75">
        <f t="shared" si="37"/>
        <v>313.14431962273881</v>
      </c>
      <c r="W71" s="75">
        <f t="shared" si="37"/>
        <v>331.88143323028402</v>
      </c>
    </row>
    <row r="72" spans="1:23" x14ac:dyDescent="0.5">
      <c r="B72" s="2" t="str">
        <f>INP!$J$21</f>
        <v>Enterprise</v>
      </c>
      <c r="F72" s="62" t="str">
        <f>$F$54</f>
        <v>#</v>
      </c>
      <c r="L72" s="75">
        <f t="shared" ref="L72:W72" si="38">SUM(L54,L60,L66)</f>
        <v>29.8</v>
      </c>
      <c r="M72" s="75">
        <f t="shared" si="38"/>
        <v>39.501999999999995</v>
      </c>
      <c r="N72" s="75">
        <f t="shared" si="38"/>
        <v>49.106979999999993</v>
      </c>
      <c r="O72" s="75">
        <f t="shared" si="38"/>
        <v>58.615910199999995</v>
      </c>
      <c r="P72" s="75">
        <f t="shared" si="38"/>
        <v>68.029751098000006</v>
      </c>
      <c r="Q72" s="75">
        <f t="shared" si="38"/>
        <v>77.349453587020008</v>
      </c>
      <c r="R72" s="75">
        <f t="shared" si="38"/>
        <v>86.575959051149809</v>
      </c>
      <c r="S72" s="75">
        <f t="shared" si="38"/>
        <v>95.710199460638307</v>
      </c>
      <c r="T72" s="75">
        <f t="shared" si="38"/>
        <v>104.75309746603192</v>
      </c>
      <c r="U72" s="75">
        <f t="shared" si="38"/>
        <v>113.7055664913716</v>
      </c>
      <c r="V72" s="75">
        <f t="shared" si="38"/>
        <v>122.56851082645788</v>
      </c>
      <c r="W72" s="75">
        <f t="shared" si="38"/>
        <v>131.34282571819332</v>
      </c>
    </row>
    <row r="73" spans="1:23" x14ac:dyDescent="0.5">
      <c r="B73" s="80" t="s">
        <v>183</v>
      </c>
      <c r="C73" s="80"/>
      <c r="D73" s="80"/>
      <c r="E73" s="80"/>
      <c r="F73" s="81" t="str">
        <f>$F$55</f>
        <v>#</v>
      </c>
      <c r="G73" s="80"/>
      <c r="H73" s="80"/>
      <c r="I73" s="80"/>
      <c r="J73" s="80"/>
      <c r="K73" s="80"/>
      <c r="L73" s="82">
        <f>SUM(L70:L72)</f>
        <v>658.19999999999993</v>
      </c>
      <c r="M73" s="82">
        <f t="shared" ref="M73:W73" si="39">SUM(M70:M72)</f>
        <v>714.58399999999995</v>
      </c>
      <c r="N73" s="82">
        <f t="shared" si="39"/>
        <v>769.22484000000009</v>
      </c>
      <c r="O73" s="82">
        <f t="shared" si="39"/>
        <v>822.19203800000003</v>
      </c>
      <c r="P73" s="82">
        <f t="shared" si="39"/>
        <v>873.55195009200008</v>
      </c>
      <c r="Q73" s="82">
        <f t="shared" si="39"/>
        <v>923.36792266364</v>
      </c>
      <c r="R73" s="82">
        <f t="shared" si="39"/>
        <v>971.70043710561242</v>
      </c>
      <c r="S73" s="82">
        <f t="shared" si="39"/>
        <v>1018.607247395418</v>
      </c>
      <c r="T73" s="82">
        <f t="shared" si="39"/>
        <v>1064.143510911452</v>
      </c>
      <c r="U73" s="82">
        <f t="shared" si="39"/>
        <v>1108.3619128137525</v>
      </c>
      <c r="V73" s="82">
        <f t="shared" si="39"/>
        <v>1151.3127843109669</v>
      </c>
      <c r="W73" s="82">
        <f t="shared" si="39"/>
        <v>1193.044215117159</v>
      </c>
    </row>
    <row r="74" spans="1:23" ht="14.4" x14ac:dyDescent="0.55000000000000004">
      <c r="A74" s="165"/>
      <c r="B74" s="165"/>
    </row>
    <row r="75" spans="1:23" x14ac:dyDescent="0.5">
      <c r="B75" s="70" t="s">
        <v>193</v>
      </c>
      <c r="C75" s="71"/>
      <c r="D75" s="71"/>
      <c r="E75" s="71"/>
      <c r="F75" s="72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</row>
    <row r="77" spans="1:23" x14ac:dyDescent="0.5">
      <c r="B77" s="77" t="s">
        <v>190</v>
      </c>
    </row>
    <row r="78" spans="1:23" x14ac:dyDescent="0.5">
      <c r="B78" s="2" t="str">
        <f>INP!$H$21</f>
        <v>SMB</v>
      </c>
      <c r="F78" s="62" t="str">
        <f>$F$52</f>
        <v>#</v>
      </c>
      <c r="H78" s="59">
        <f>INP!H28</f>
        <v>0.01</v>
      </c>
      <c r="L78" s="88">
        <f>$H78</f>
        <v>0.01</v>
      </c>
      <c r="M78" s="88">
        <f t="shared" ref="M78:W80" si="40">$H78</f>
        <v>0.01</v>
      </c>
      <c r="N78" s="88">
        <f t="shared" si="40"/>
        <v>0.01</v>
      </c>
      <c r="O78" s="88">
        <f t="shared" si="40"/>
        <v>0.01</v>
      </c>
      <c r="P78" s="88">
        <f t="shared" si="40"/>
        <v>0.01</v>
      </c>
      <c r="Q78" s="88">
        <f t="shared" si="40"/>
        <v>0.01</v>
      </c>
      <c r="R78" s="88">
        <f t="shared" si="40"/>
        <v>0.01</v>
      </c>
      <c r="S78" s="88">
        <f t="shared" si="40"/>
        <v>0.01</v>
      </c>
      <c r="T78" s="88">
        <f t="shared" si="40"/>
        <v>0.01</v>
      </c>
      <c r="U78" s="88">
        <f t="shared" si="40"/>
        <v>0.01</v>
      </c>
      <c r="V78" s="88">
        <f t="shared" si="40"/>
        <v>0.01</v>
      </c>
      <c r="W78" s="88">
        <f t="shared" si="40"/>
        <v>0.01</v>
      </c>
    </row>
    <row r="79" spans="1:23" x14ac:dyDescent="0.5">
      <c r="B79" s="2" t="str">
        <f>INP!$I$21</f>
        <v>Mid-Market</v>
      </c>
      <c r="F79" s="62" t="str">
        <f>$F$53</f>
        <v>#</v>
      </c>
      <c r="H79" s="59">
        <f>INP!I28</f>
        <v>0.04</v>
      </c>
      <c r="L79" s="88">
        <f t="shared" ref="L79:L80" si="41">$H79</f>
        <v>0.04</v>
      </c>
      <c r="M79" s="88">
        <f t="shared" si="40"/>
        <v>0.04</v>
      </c>
      <c r="N79" s="88">
        <f t="shared" si="40"/>
        <v>0.04</v>
      </c>
      <c r="O79" s="88">
        <f t="shared" si="40"/>
        <v>0.04</v>
      </c>
      <c r="P79" s="88">
        <f t="shared" si="40"/>
        <v>0.04</v>
      </c>
      <c r="Q79" s="88">
        <f t="shared" si="40"/>
        <v>0.04</v>
      </c>
      <c r="R79" s="88">
        <f t="shared" si="40"/>
        <v>0.04</v>
      </c>
      <c r="S79" s="88">
        <f t="shared" si="40"/>
        <v>0.04</v>
      </c>
      <c r="T79" s="88">
        <f t="shared" si="40"/>
        <v>0.04</v>
      </c>
      <c r="U79" s="88">
        <f t="shared" si="40"/>
        <v>0.04</v>
      </c>
      <c r="V79" s="88">
        <f t="shared" si="40"/>
        <v>0.04</v>
      </c>
      <c r="W79" s="88">
        <f t="shared" si="40"/>
        <v>0.04</v>
      </c>
    </row>
    <row r="80" spans="1:23" x14ac:dyDescent="0.5">
      <c r="B80" s="2" t="str">
        <f>INP!$J$21</f>
        <v>Enterprise</v>
      </c>
      <c r="F80" s="62" t="str">
        <f>$F$54</f>
        <v>#</v>
      </c>
      <c r="H80" s="59">
        <f>INP!J28</f>
        <v>7.0000000000000007E-2</v>
      </c>
      <c r="L80" s="88">
        <f t="shared" si="41"/>
        <v>7.0000000000000007E-2</v>
      </c>
      <c r="M80" s="88">
        <f t="shared" si="40"/>
        <v>7.0000000000000007E-2</v>
      </c>
      <c r="N80" s="88">
        <f t="shared" si="40"/>
        <v>7.0000000000000007E-2</v>
      </c>
      <c r="O80" s="88">
        <f t="shared" si="40"/>
        <v>7.0000000000000007E-2</v>
      </c>
      <c r="P80" s="88">
        <f t="shared" si="40"/>
        <v>7.0000000000000007E-2</v>
      </c>
      <c r="Q80" s="88">
        <f t="shared" si="40"/>
        <v>7.0000000000000007E-2</v>
      </c>
      <c r="R80" s="88">
        <f t="shared" si="40"/>
        <v>7.0000000000000007E-2</v>
      </c>
      <c r="S80" s="88">
        <f t="shared" si="40"/>
        <v>7.0000000000000007E-2</v>
      </c>
      <c r="T80" s="88">
        <f t="shared" si="40"/>
        <v>7.0000000000000007E-2</v>
      </c>
      <c r="U80" s="88">
        <f t="shared" si="40"/>
        <v>7.0000000000000007E-2</v>
      </c>
      <c r="V80" s="88">
        <f t="shared" si="40"/>
        <v>7.0000000000000007E-2</v>
      </c>
      <c r="W80" s="88">
        <f t="shared" si="40"/>
        <v>7.0000000000000007E-2</v>
      </c>
    </row>
    <row r="81" spans="1:23" x14ac:dyDescent="0.5">
      <c r="B81" s="80" t="s">
        <v>191</v>
      </c>
      <c r="C81" s="80"/>
      <c r="D81" s="80"/>
      <c r="E81" s="80"/>
      <c r="F81" s="81" t="str">
        <f>$F$55</f>
        <v>#</v>
      </c>
      <c r="G81" s="80"/>
      <c r="H81" s="80"/>
      <c r="I81" s="80"/>
      <c r="J81" s="80"/>
      <c r="K81" s="80"/>
      <c r="L81" s="89">
        <f>SUMPRODUCT(L78:L80,L$70:L$72)/L$73</f>
        <v>1.7429352780309937E-2</v>
      </c>
      <c r="M81" s="89">
        <f t="shared" ref="M81" si="42">SUMPRODUCT(M78:M80,M$70:M$72)/M$73</f>
        <v>1.8620512074157835E-2</v>
      </c>
      <c r="N81" s="89">
        <f t="shared" ref="N81" si="43">SUMPRODUCT(N78:N80,N$70:N$72)/N$73</f>
        <v>1.9633827737544199E-2</v>
      </c>
      <c r="O81" s="89">
        <f t="shared" ref="O81" si="44">SUMPRODUCT(O78:O80,O$70:O$72)/O$73</f>
        <v>2.0510722308892025E-2</v>
      </c>
      <c r="P81" s="89">
        <f t="shared" ref="P81" si="45">SUMPRODUCT(P78:P80,P$70:P$72)/P$73</f>
        <v>2.1280571346858294E-2</v>
      </c>
      <c r="Q81" s="89">
        <f t="shared" ref="Q81" si="46">SUMPRODUCT(Q78:Q80,Q$70:Q$72)/Q$73</f>
        <v>2.1964786057355034E-2</v>
      </c>
      <c r="R81" s="89">
        <f t="shared" ref="R81" si="47">SUMPRODUCT(R78:R80,R$70:R$72)/R$73</f>
        <v>2.2579341183089931E-2</v>
      </c>
      <c r="S81" s="89">
        <f t="shared" ref="S81" si="48">SUMPRODUCT(S78:S80,S$70:S$72)/S$73</f>
        <v>2.3136397673619986E-2</v>
      </c>
      <c r="T81" s="89">
        <f t="shared" ref="T81" si="49">SUMPRODUCT(T78:T80,T$70:T$72)/T$73</f>
        <v>2.3645377008178672E-2</v>
      </c>
      <c r="U81" s="89">
        <f t="shared" ref="U81" si="50">SUMPRODUCT(U78:U80,U$70:U$72)/U$73</f>
        <v>2.4113691824737073E-2</v>
      </c>
      <c r="V81" s="89">
        <f t="shared" ref="V81" si="51">SUMPRODUCT(V78:V80,V$70:V$72)/V$73</f>
        <v>2.4547254635318917E-2</v>
      </c>
      <c r="W81" s="89">
        <f t="shared" ref="W81" si="52">SUMPRODUCT(W78:W80,W$70:W$72)/W$73</f>
        <v>2.495083946930542E-2</v>
      </c>
    </row>
    <row r="83" spans="1:23" x14ac:dyDescent="0.5">
      <c r="B83" s="77" t="s">
        <v>192</v>
      </c>
    </row>
    <row r="84" spans="1:23" x14ac:dyDescent="0.5">
      <c r="B84" s="2" t="str">
        <f>INP!$H$21</f>
        <v>SMB</v>
      </c>
      <c r="F84" s="62" t="str">
        <f>$F$52</f>
        <v>#</v>
      </c>
      <c r="H84" s="79">
        <f>INP!H24</f>
        <v>10</v>
      </c>
      <c r="I84" s="75"/>
      <c r="J84" s="75"/>
      <c r="K84" s="75"/>
      <c r="L84" s="75">
        <f>$H84*L$49+K84*(1+L78)</f>
        <v>10</v>
      </c>
      <c r="M84" s="75">
        <f t="shared" ref="M84:W84" si="53">$H84*M$49+L84*(1+M78)</f>
        <v>10.1</v>
      </c>
      <c r="N84" s="75">
        <f t="shared" si="53"/>
        <v>10.201000000000001</v>
      </c>
      <c r="O84" s="75">
        <f t="shared" si="53"/>
        <v>10.30301</v>
      </c>
      <c r="P84" s="75">
        <f t="shared" si="53"/>
        <v>10.4060401</v>
      </c>
      <c r="Q84" s="75">
        <f t="shared" si="53"/>
        <v>10.510100501</v>
      </c>
      <c r="R84" s="75">
        <f t="shared" si="53"/>
        <v>10.615201506010001</v>
      </c>
      <c r="S84" s="75">
        <f t="shared" si="53"/>
        <v>10.721353521070101</v>
      </c>
      <c r="T84" s="75">
        <f t="shared" si="53"/>
        <v>10.828567056280802</v>
      </c>
      <c r="U84" s="75">
        <f t="shared" si="53"/>
        <v>10.936852726843609</v>
      </c>
      <c r="V84" s="75">
        <f t="shared" si="53"/>
        <v>11.046221254112046</v>
      </c>
      <c r="W84" s="75">
        <f t="shared" si="53"/>
        <v>11.156683466653167</v>
      </c>
    </row>
    <row r="85" spans="1:23" x14ac:dyDescent="0.5">
      <c r="B85" s="2" t="str">
        <f>INP!$I$21</f>
        <v>Mid-Market</v>
      </c>
      <c r="F85" s="62" t="str">
        <f>$F$53</f>
        <v>#</v>
      </c>
      <c r="H85" s="79">
        <f>INP!I24</f>
        <v>30</v>
      </c>
      <c r="I85" s="75"/>
      <c r="J85" s="75"/>
      <c r="K85" s="75"/>
      <c r="L85" s="75">
        <f t="shared" ref="L85:W85" si="54">$H85*L$49+K85*(1+L79)</f>
        <v>30</v>
      </c>
      <c r="M85" s="75">
        <f t="shared" si="54"/>
        <v>31.200000000000003</v>
      </c>
      <c r="N85" s="75">
        <f t="shared" si="54"/>
        <v>32.448000000000008</v>
      </c>
      <c r="O85" s="75">
        <f t="shared" si="54"/>
        <v>33.745920000000012</v>
      </c>
      <c r="P85" s="75">
        <f t="shared" si="54"/>
        <v>35.095756800000011</v>
      </c>
      <c r="Q85" s="75">
        <f t="shared" si="54"/>
        <v>36.499587072000011</v>
      </c>
      <c r="R85" s="75">
        <f t="shared" si="54"/>
        <v>37.95957055488001</v>
      </c>
      <c r="S85" s="75">
        <f t="shared" si="54"/>
        <v>39.47795337707521</v>
      </c>
      <c r="T85" s="75">
        <f t="shared" si="54"/>
        <v>41.057071512158217</v>
      </c>
      <c r="U85" s="75">
        <f t="shared" si="54"/>
        <v>42.699354372644549</v>
      </c>
      <c r="V85" s="75">
        <f t="shared" si="54"/>
        <v>44.407328547550335</v>
      </c>
      <c r="W85" s="75">
        <f t="shared" si="54"/>
        <v>46.183621689452352</v>
      </c>
    </row>
    <row r="86" spans="1:23" x14ac:dyDescent="0.5">
      <c r="B86" s="2" t="str">
        <f>INP!$J$21</f>
        <v>Enterprise</v>
      </c>
      <c r="F86" s="62" t="str">
        <f>$F$54</f>
        <v>#</v>
      </c>
      <c r="H86" s="79">
        <f>INP!J24</f>
        <v>100</v>
      </c>
      <c r="I86" s="75"/>
      <c r="J86" s="75"/>
      <c r="K86" s="75"/>
      <c r="L86" s="75">
        <f t="shared" ref="L86:W86" si="55">$H86*L$49+K86*(1+L80)</f>
        <v>100</v>
      </c>
      <c r="M86" s="75">
        <f t="shared" si="55"/>
        <v>107</v>
      </c>
      <c r="N86" s="75">
        <f t="shared" si="55"/>
        <v>114.49000000000001</v>
      </c>
      <c r="O86" s="75">
        <f t="shared" si="55"/>
        <v>122.50430000000001</v>
      </c>
      <c r="P86" s="75">
        <f t="shared" si="55"/>
        <v>131.07960100000003</v>
      </c>
      <c r="Q86" s="75">
        <f t="shared" si="55"/>
        <v>140.25517307000004</v>
      </c>
      <c r="R86" s="75">
        <f t="shared" si="55"/>
        <v>150.07303518490005</v>
      </c>
      <c r="S86" s="75">
        <f t="shared" si="55"/>
        <v>160.57814764784305</v>
      </c>
      <c r="T86" s="75">
        <f t="shared" si="55"/>
        <v>171.81861798319207</v>
      </c>
      <c r="U86" s="75">
        <f t="shared" si="55"/>
        <v>183.84592124201552</v>
      </c>
      <c r="V86" s="75">
        <f t="shared" si="55"/>
        <v>196.71513572895662</v>
      </c>
      <c r="W86" s="75">
        <f t="shared" si="55"/>
        <v>210.48519522998359</v>
      </c>
    </row>
    <row r="87" spans="1:23" x14ac:dyDescent="0.5">
      <c r="B87" s="80" t="s">
        <v>191</v>
      </c>
      <c r="C87" s="80"/>
      <c r="D87" s="80"/>
      <c r="E87" s="80"/>
      <c r="F87" s="81" t="str">
        <f>$F$55</f>
        <v>#</v>
      </c>
      <c r="G87" s="80"/>
      <c r="H87" s="82"/>
      <c r="I87" s="82"/>
      <c r="J87" s="82"/>
      <c r="K87" s="82"/>
      <c r="L87" s="82">
        <f>SUMPRODUCT(L84:L86,L$70:L$72)/L$73</f>
        <v>17.216651473716198</v>
      </c>
      <c r="M87" s="82">
        <f t="shared" ref="M87:W87" si="56">SUMPRODUCT(M84:M86,M$70:M$72)/M$73</f>
        <v>19.186893913101894</v>
      </c>
      <c r="N87" s="82">
        <f t="shared" si="56"/>
        <v>21.162412376048596</v>
      </c>
      <c r="O87" s="82">
        <f t="shared" si="56"/>
        <v>23.172893249491903</v>
      </c>
      <c r="P87" s="82">
        <f t="shared" si="56"/>
        <v>25.242028465502507</v>
      </c>
      <c r="Q87" s="82">
        <f t="shared" si="56"/>
        <v>27.389764138944649</v>
      </c>
      <c r="R87" s="82">
        <f t="shared" si="56"/>
        <v>29.633710398237113</v>
      </c>
      <c r="S87" s="82">
        <f t="shared" si="56"/>
        <v>31.990064214994597</v>
      </c>
      <c r="T87" s="82">
        <f t="shared" si="56"/>
        <v>34.474238636072755</v>
      </c>
      <c r="U87" s="82">
        <f t="shared" si="56"/>
        <v>37.101309437236281</v>
      </c>
      <c r="V87" s="82">
        <f t="shared" si="56"/>
        <v>39.886345373018088</v>
      </c>
      <c r="W87" s="82">
        <f t="shared" si="56"/>
        <v>42.844662806577823</v>
      </c>
    </row>
    <row r="88" spans="1:23" ht="14.4" x14ac:dyDescent="0.55000000000000004">
      <c r="A88" s="165"/>
      <c r="B88" s="166"/>
    </row>
    <row r="89" spans="1:23" s="7" customFormat="1" ht="14.4" x14ac:dyDescent="0.55000000000000004">
      <c r="A89" s="163" t="s">
        <v>0</v>
      </c>
      <c r="B89" s="198" t="s">
        <v>198</v>
      </c>
      <c r="C89" s="202"/>
      <c r="D89" s="202"/>
      <c r="E89" s="202"/>
      <c r="F89" s="203"/>
      <c r="G89" s="202"/>
      <c r="H89" s="202"/>
      <c r="I89" s="202"/>
      <c r="J89" s="202"/>
      <c r="K89" s="202"/>
      <c r="L89" s="202"/>
      <c r="M89" s="202"/>
      <c r="N89" s="202"/>
      <c r="O89" s="202"/>
      <c r="P89" s="202"/>
      <c r="Q89" s="202"/>
      <c r="R89" s="202"/>
      <c r="S89" s="202"/>
      <c r="T89" s="202"/>
      <c r="U89" s="202"/>
      <c r="V89" s="202"/>
      <c r="W89" s="202"/>
    </row>
    <row r="91" spans="1:23" x14ac:dyDescent="0.5">
      <c r="B91" s="77" t="s">
        <v>199</v>
      </c>
    </row>
    <row r="92" spans="1:23" x14ac:dyDescent="0.5">
      <c r="B92" s="2" t="str">
        <f>INP!$H$21</f>
        <v>SMB</v>
      </c>
      <c r="F92" s="62" t="str">
        <f>$F$52</f>
        <v>#</v>
      </c>
      <c r="H92" s="79">
        <f>INP!H25</f>
        <v>200</v>
      </c>
      <c r="L92" s="75">
        <f>$H92</f>
        <v>200</v>
      </c>
      <c r="M92" s="75">
        <f t="shared" ref="M92:W94" si="57">$H92</f>
        <v>200</v>
      </c>
      <c r="N92" s="75">
        <f t="shared" si="57"/>
        <v>200</v>
      </c>
      <c r="O92" s="75">
        <f t="shared" si="57"/>
        <v>200</v>
      </c>
      <c r="P92" s="75">
        <f t="shared" si="57"/>
        <v>200</v>
      </c>
      <c r="Q92" s="75">
        <f t="shared" si="57"/>
        <v>200</v>
      </c>
      <c r="R92" s="75">
        <f t="shared" si="57"/>
        <v>200</v>
      </c>
      <c r="S92" s="75">
        <f t="shared" si="57"/>
        <v>200</v>
      </c>
      <c r="T92" s="75">
        <f t="shared" si="57"/>
        <v>200</v>
      </c>
      <c r="U92" s="75">
        <f t="shared" si="57"/>
        <v>200</v>
      </c>
      <c r="V92" s="75">
        <f t="shared" si="57"/>
        <v>200</v>
      </c>
      <c r="W92" s="75">
        <f t="shared" si="57"/>
        <v>200</v>
      </c>
    </row>
    <row r="93" spans="1:23" x14ac:dyDescent="0.5">
      <c r="B93" s="2" t="str">
        <f>INP!$I$21</f>
        <v>Mid-Market</v>
      </c>
      <c r="F93" s="62" t="str">
        <f>$F$53</f>
        <v>#</v>
      </c>
      <c r="H93" s="79">
        <f>INP!I25</f>
        <v>400</v>
      </c>
      <c r="L93" s="75">
        <f t="shared" ref="L93:L94" si="58">$H93</f>
        <v>400</v>
      </c>
      <c r="M93" s="75">
        <f t="shared" si="57"/>
        <v>400</v>
      </c>
      <c r="N93" s="75">
        <f t="shared" si="57"/>
        <v>400</v>
      </c>
      <c r="O93" s="75">
        <f t="shared" si="57"/>
        <v>400</v>
      </c>
      <c r="P93" s="75">
        <f t="shared" si="57"/>
        <v>400</v>
      </c>
      <c r="Q93" s="75">
        <f t="shared" si="57"/>
        <v>400</v>
      </c>
      <c r="R93" s="75">
        <f t="shared" si="57"/>
        <v>400</v>
      </c>
      <c r="S93" s="75">
        <f t="shared" si="57"/>
        <v>400</v>
      </c>
      <c r="T93" s="75">
        <f t="shared" si="57"/>
        <v>400</v>
      </c>
      <c r="U93" s="75">
        <f t="shared" si="57"/>
        <v>400</v>
      </c>
      <c r="V93" s="75">
        <f t="shared" si="57"/>
        <v>400</v>
      </c>
      <c r="W93" s="75">
        <f t="shared" si="57"/>
        <v>400</v>
      </c>
    </row>
    <row r="94" spans="1:23" x14ac:dyDescent="0.5">
      <c r="B94" s="2" t="str">
        <f>INP!$J$21</f>
        <v>Enterprise</v>
      </c>
      <c r="F94" s="62" t="str">
        <f>$F$54</f>
        <v>#</v>
      </c>
      <c r="H94" s="79">
        <f>INP!J25</f>
        <v>800</v>
      </c>
      <c r="L94" s="75">
        <f t="shared" si="58"/>
        <v>800</v>
      </c>
      <c r="M94" s="75">
        <f t="shared" si="57"/>
        <v>800</v>
      </c>
      <c r="N94" s="75">
        <f t="shared" si="57"/>
        <v>800</v>
      </c>
      <c r="O94" s="75">
        <f t="shared" si="57"/>
        <v>800</v>
      </c>
      <c r="P94" s="75">
        <f t="shared" si="57"/>
        <v>800</v>
      </c>
      <c r="Q94" s="75">
        <f t="shared" si="57"/>
        <v>800</v>
      </c>
      <c r="R94" s="75">
        <f t="shared" si="57"/>
        <v>800</v>
      </c>
      <c r="S94" s="75">
        <f t="shared" si="57"/>
        <v>800</v>
      </c>
      <c r="T94" s="75">
        <f t="shared" si="57"/>
        <v>800</v>
      </c>
      <c r="U94" s="75">
        <f t="shared" si="57"/>
        <v>800</v>
      </c>
      <c r="V94" s="75">
        <f t="shared" si="57"/>
        <v>800</v>
      </c>
      <c r="W94" s="75">
        <f t="shared" si="57"/>
        <v>800</v>
      </c>
    </row>
    <row r="95" spans="1:23" x14ac:dyDescent="0.5">
      <c r="B95" s="80" t="s">
        <v>191</v>
      </c>
      <c r="C95" s="80"/>
      <c r="D95" s="80"/>
      <c r="E95" s="80"/>
      <c r="F95" s="81" t="str">
        <f>$F$55</f>
        <v>#</v>
      </c>
      <c r="G95" s="80"/>
      <c r="H95" s="80"/>
      <c r="I95" s="80"/>
      <c r="J95" s="80"/>
      <c r="K95" s="80"/>
      <c r="L95" s="82">
        <f>SUMPRODUCT(L92:L94,L$70:L$72)/L$73</f>
        <v>258.58401701610455</v>
      </c>
      <c r="M95" s="82">
        <f t="shared" ref="M95" si="59">SUMPRODUCT(M92:M94,M$70:M$72)/M$73</f>
        <v>268.52602353257282</v>
      </c>
      <c r="N95" s="82">
        <f t="shared" ref="N95" si="60">SUMPRODUCT(N92:N94,N$70:N$72)/N$73</f>
        <v>276.99343146536972</v>
      </c>
      <c r="O95" s="82">
        <f t="shared" ref="O95" si="61">SUMPRODUCT(O92:O94,O$70:O$72)/O$73</f>
        <v>284.32992959729927</v>
      </c>
      <c r="P95" s="82">
        <f t="shared" ref="P95" si="62">SUMPRODUCT(P92:P94,P$70:P$72)/P$73</f>
        <v>290.77924237848509</v>
      </c>
      <c r="Q95" s="82">
        <f t="shared" ref="Q95" si="63">SUMPRODUCT(Q92:Q94,Q$70:Q$72)/Q$73</f>
        <v>296.51900704211613</v>
      </c>
      <c r="R95" s="82">
        <f t="shared" ref="R95" si="64">SUMPRODUCT(R92:R94,R$70:R$72)/R$73</f>
        <v>301.68174972243895</v>
      </c>
      <c r="S95" s="82">
        <f t="shared" ref="S95" si="65">SUMPRODUCT(S92:S94,S$70:S$72)/S$73</f>
        <v>306.36835018530473</v>
      </c>
      <c r="T95" s="82">
        <f t="shared" ref="T95" si="66">SUMPRODUCT(T92:T94,T$70:T$72)/T$73</f>
        <v>310.65695644782494</v>
      </c>
      <c r="U95" s="82">
        <f t="shared" ref="U95" si="67">SUMPRODUCT(U92:U94,U$70:U$72)/U$73</f>
        <v>314.60904747318096</v>
      </c>
      <c r="V95" s="82">
        <f t="shared" ref="V95" si="68">SUMPRODUCT(V92:V94,V$70:V$72)/V$73</f>
        <v>318.27365445430792</v>
      </c>
      <c r="W95" s="82">
        <f t="shared" ref="W95" si="69">SUMPRODUCT(W92:W94,W$70:W$72)/W$73</f>
        <v>321.6903617128018</v>
      </c>
    </row>
    <row r="97" spans="1:23" x14ac:dyDescent="0.5">
      <c r="B97" s="77" t="s">
        <v>200</v>
      </c>
    </row>
    <row r="98" spans="1:23" x14ac:dyDescent="0.5">
      <c r="B98" s="2" t="str">
        <f>INP!$H$21</f>
        <v>SMB</v>
      </c>
      <c r="F98" s="62" t="str">
        <f>$F$52</f>
        <v>#</v>
      </c>
      <c r="H98" s="79">
        <f>INP!H26</f>
        <v>25</v>
      </c>
      <c r="L98" s="75">
        <f>$H98</f>
        <v>25</v>
      </c>
      <c r="M98" s="75">
        <f t="shared" ref="M98:W100" si="70">$H98</f>
        <v>25</v>
      </c>
      <c r="N98" s="75">
        <f t="shared" si="70"/>
        <v>25</v>
      </c>
      <c r="O98" s="75">
        <f t="shared" si="70"/>
        <v>25</v>
      </c>
      <c r="P98" s="75">
        <f t="shared" si="70"/>
        <v>25</v>
      </c>
      <c r="Q98" s="75">
        <f t="shared" si="70"/>
        <v>25</v>
      </c>
      <c r="R98" s="75">
        <f t="shared" si="70"/>
        <v>25</v>
      </c>
      <c r="S98" s="75">
        <f t="shared" si="70"/>
        <v>25</v>
      </c>
      <c r="T98" s="75">
        <f t="shared" si="70"/>
        <v>25</v>
      </c>
      <c r="U98" s="75">
        <f t="shared" si="70"/>
        <v>25</v>
      </c>
      <c r="V98" s="75">
        <f t="shared" si="70"/>
        <v>25</v>
      </c>
      <c r="W98" s="75">
        <f t="shared" si="70"/>
        <v>25</v>
      </c>
    </row>
    <row r="99" spans="1:23" x14ac:dyDescent="0.5">
      <c r="B99" s="2" t="str">
        <f>INP!$I$21</f>
        <v>Mid-Market</v>
      </c>
      <c r="F99" s="62" t="str">
        <f>$F$53</f>
        <v>#</v>
      </c>
      <c r="H99" s="79">
        <f>INP!I26</f>
        <v>30</v>
      </c>
      <c r="L99" s="75">
        <f t="shared" ref="L99:L100" si="71">$H99</f>
        <v>30</v>
      </c>
      <c r="M99" s="75">
        <f t="shared" si="70"/>
        <v>30</v>
      </c>
      <c r="N99" s="75">
        <f t="shared" si="70"/>
        <v>30</v>
      </c>
      <c r="O99" s="75">
        <f t="shared" si="70"/>
        <v>30</v>
      </c>
      <c r="P99" s="75">
        <f t="shared" si="70"/>
        <v>30</v>
      </c>
      <c r="Q99" s="75">
        <f t="shared" si="70"/>
        <v>30</v>
      </c>
      <c r="R99" s="75">
        <f t="shared" si="70"/>
        <v>30</v>
      </c>
      <c r="S99" s="75">
        <f t="shared" si="70"/>
        <v>30</v>
      </c>
      <c r="T99" s="75">
        <f t="shared" si="70"/>
        <v>30</v>
      </c>
      <c r="U99" s="75">
        <f t="shared" si="70"/>
        <v>30</v>
      </c>
      <c r="V99" s="75">
        <f t="shared" si="70"/>
        <v>30</v>
      </c>
      <c r="W99" s="75">
        <f t="shared" si="70"/>
        <v>30</v>
      </c>
    </row>
    <row r="100" spans="1:23" x14ac:dyDescent="0.5">
      <c r="B100" s="2" t="str">
        <f>INP!$J$21</f>
        <v>Enterprise</v>
      </c>
      <c r="F100" s="62" t="str">
        <f>$F$54</f>
        <v>#</v>
      </c>
      <c r="H100" s="79">
        <f>INP!J26</f>
        <v>35</v>
      </c>
      <c r="L100" s="75">
        <f t="shared" si="71"/>
        <v>35</v>
      </c>
      <c r="M100" s="75">
        <f t="shared" si="70"/>
        <v>35</v>
      </c>
      <c r="N100" s="75">
        <f t="shared" si="70"/>
        <v>35</v>
      </c>
      <c r="O100" s="75">
        <f t="shared" si="70"/>
        <v>35</v>
      </c>
      <c r="P100" s="75">
        <f t="shared" si="70"/>
        <v>35</v>
      </c>
      <c r="Q100" s="75">
        <f t="shared" si="70"/>
        <v>35</v>
      </c>
      <c r="R100" s="75">
        <f t="shared" si="70"/>
        <v>35</v>
      </c>
      <c r="S100" s="75">
        <f t="shared" si="70"/>
        <v>35</v>
      </c>
      <c r="T100" s="75">
        <f t="shared" si="70"/>
        <v>35</v>
      </c>
      <c r="U100" s="75">
        <f t="shared" si="70"/>
        <v>35</v>
      </c>
      <c r="V100" s="75">
        <f t="shared" si="70"/>
        <v>35</v>
      </c>
      <c r="W100" s="75">
        <f t="shared" si="70"/>
        <v>35</v>
      </c>
    </row>
    <row r="101" spans="1:23" x14ac:dyDescent="0.5">
      <c r="B101" s="80" t="s">
        <v>191</v>
      </c>
      <c r="C101" s="80"/>
      <c r="D101" s="80"/>
      <c r="E101" s="80"/>
      <c r="F101" s="81" t="str">
        <f>$F$55</f>
        <v>#</v>
      </c>
      <c r="G101" s="80"/>
      <c r="H101" s="80"/>
      <c r="I101" s="80"/>
      <c r="J101" s="80"/>
      <c r="K101" s="80"/>
      <c r="L101" s="82">
        <f>SUMPRODUCT(L98:L100,L$70:L$72)/L$73</f>
        <v>26.238225463384993</v>
      </c>
      <c r="M101" s="82">
        <f t="shared" ref="M101" si="72">SUMPRODUCT(M98:M100,M$70:M$72)/M$73</f>
        <v>26.436752012359641</v>
      </c>
      <c r="N101" s="82">
        <f t="shared" ref="N101" si="73">SUMPRODUCT(N98:N100,N$70:N$72)/N$73</f>
        <v>26.605637956257365</v>
      </c>
      <c r="O101" s="82">
        <f t="shared" ref="O101" si="74">SUMPRODUCT(O98:O100,O$70:O$72)/O$73</f>
        <v>26.751787051482005</v>
      </c>
      <c r="P101" s="82">
        <f t="shared" ref="P101" si="75">SUMPRODUCT(P98:P100,P$70:P$72)/P$73</f>
        <v>26.880095224476378</v>
      </c>
      <c r="Q101" s="82">
        <f t="shared" ref="Q101" si="76">SUMPRODUCT(Q98:Q100,Q$70:Q$72)/Q$73</f>
        <v>26.994131009559172</v>
      </c>
      <c r="R101" s="82">
        <f t="shared" ref="R101" si="77">SUMPRODUCT(R98:R100,R$70:R$72)/R$73</f>
        <v>27.096556863848321</v>
      </c>
      <c r="S101" s="82">
        <f t="shared" ref="S101" si="78">SUMPRODUCT(S98:S100,S$70:S$72)/S$73</f>
        <v>27.189399612269998</v>
      </c>
      <c r="T101" s="82">
        <f t="shared" ref="T101" si="79">SUMPRODUCT(T98:T100,T$70:T$72)/T$73</f>
        <v>27.274229501363109</v>
      </c>
      <c r="U101" s="82">
        <f t="shared" ref="U101" si="80">SUMPRODUCT(U98:U100,U$70:U$72)/U$73</f>
        <v>27.352281970789516</v>
      </c>
      <c r="V101" s="82">
        <f t="shared" ref="V101" si="81">SUMPRODUCT(V98:V100,V$70:V$72)/V$73</f>
        <v>27.424542439219817</v>
      </c>
      <c r="W101" s="82">
        <f t="shared" ref="W101" si="82">SUMPRODUCT(W98:W100,W$70:W$72)/W$73</f>
        <v>27.491806578217574</v>
      </c>
    </row>
    <row r="103" spans="1:23" s="7" customFormat="1" ht="14.4" x14ac:dyDescent="0.55000000000000004">
      <c r="A103" s="163" t="s">
        <v>0</v>
      </c>
      <c r="B103" s="198" t="s">
        <v>201</v>
      </c>
      <c r="C103" s="202"/>
      <c r="D103" s="202"/>
      <c r="E103" s="202"/>
      <c r="F103" s="203"/>
      <c r="G103" s="202"/>
      <c r="H103" s="202"/>
      <c r="I103" s="202"/>
      <c r="J103" s="202"/>
      <c r="K103" s="202"/>
      <c r="L103" s="202"/>
      <c r="M103" s="202"/>
      <c r="N103" s="202"/>
      <c r="O103" s="202"/>
      <c r="P103" s="202"/>
      <c r="Q103" s="202"/>
      <c r="R103" s="202"/>
      <c r="S103" s="202"/>
      <c r="T103" s="202"/>
      <c r="U103" s="202"/>
      <c r="V103" s="202"/>
      <c r="W103" s="202"/>
    </row>
    <row r="105" spans="1:23" x14ac:dyDescent="0.5">
      <c r="B105" s="70" t="s">
        <v>45</v>
      </c>
      <c r="C105" s="71"/>
      <c r="D105" s="71"/>
      <c r="E105" s="71"/>
      <c r="F105" s="72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</row>
    <row r="107" spans="1:23" x14ac:dyDescent="0.5">
      <c r="B107" s="77" t="s">
        <v>184</v>
      </c>
    </row>
    <row r="108" spans="1:23" x14ac:dyDescent="0.5">
      <c r="B108" s="2" t="str">
        <f>INP!$H$21</f>
        <v>SMB</v>
      </c>
      <c r="F108" s="62" t="s">
        <v>31</v>
      </c>
      <c r="H108" s="90">
        <f>(H52*H92+H98*H84*H52)/10^3</f>
        <v>225</v>
      </c>
      <c r="J108" s="87"/>
      <c r="L108" s="75">
        <f>IF(L$49,$H108,K132)</f>
        <v>225</v>
      </c>
      <c r="M108" s="75">
        <f t="shared" ref="M108:W108" si="83">IF(M$49,$H108,L132)</f>
        <v>236.25</v>
      </c>
      <c r="N108" s="75">
        <f t="shared" si="83"/>
        <v>248.30937499999999</v>
      </c>
      <c r="O108" s="75">
        <f t="shared" si="83"/>
        <v>259.96147031249996</v>
      </c>
      <c r="P108" s="75">
        <f t="shared" si="83"/>
        <v>271.22629951484367</v>
      </c>
      <c r="Q108" s="75">
        <f t="shared" si="83"/>
        <v>282.12296544699251</v>
      </c>
      <c r="R108" s="75">
        <f t="shared" si="83"/>
        <v>292.66970286326432</v>
      </c>
      <c r="S108" s="75">
        <f t="shared" si="83"/>
        <v>302.88391907590841</v>
      </c>
      <c r="T108" s="75">
        <f t="shared" si="83"/>
        <v>312.78223268596082</v>
      </c>
      <c r="U108" s="75">
        <f t="shared" si="83"/>
        <v>322.38051049225498</v>
      </c>
      <c r="V108" s="75">
        <f t="shared" si="83"/>
        <v>331.69390266511152</v>
      </c>
      <c r="W108" s="75">
        <f t="shared" si="83"/>
        <v>340.73687626709108</v>
      </c>
    </row>
    <row r="109" spans="1:23" x14ac:dyDescent="0.5">
      <c r="B109" s="2" t="str">
        <f>INP!$I$21</f>
        <v>Mid-Market</v>
      </c>
      <c r="F109" s="62" t="s">
        <v>31</v>
      </c>
      <c r="H109" s="90">
        <f t="shared" ref="H109" si="84">(H53*H93+H99*H85*H53)/10^3</f>
        <v>104</v>
      </c>
      <c r="J109" s="87"/>
      <c r="L109" s="75">
        <f t="shared" ref="L109:W109" si="85">IF(L$49,$H109,K133)</f>
        <v>104</v>
      </c>
      <c r="M109" s="75">
        <f t="shared" si="85"/>
        <v>134.41999999999999</v>
      </c>
      <c r="N109" s="75">
        <f t="shared" si="85"/>
        <v>168.77955200000002</v>
      </c>
      <c r="O109" s="75">
        <f t="shared" si="85"/>
        <v>204.37523363840006</v>
      </c>
      <c r="P109" s="75">
        <f t="shared" si="85"/>
        <v>241.27541007945737</v>
      </c>
      <c r="Q109" s="75">
        <f t="shared" si="85"/>
        <v>279.55111286907896</v>
      </c>
      <c r="R109" s="75">
        <f t="shared" si="85"/>
        <v>319.27615390993935</v>
      </c>
      <c r="S109" s="75">
        <f t="shared" si="85"/>
        <v>360.52724396354881</v>
      </c>
      <c r="T109" s="75">
        <f t="shared" si="85"/>
        <v>403.38411586318637</v>
      </c>
      <c r="U109" s="75">
        <f t="shared" si="85"/>
        <v>447.92965262895461</v>
      </c>
      <c r="V109" s="75">
        <f t="shared" si="85"/>
        <v>494.25002068384885</v>
      </c>
      <c r="W109" s="75">
        <f t="shared" si="85"/>
        <v>542.43480837767777</v>
      </c>
    </row>
    <row r="110" spans="1:23" x14ac:dyDescent="0.5">
      <c r="B110" s="2" t="str">
        <f>INP!$J$21</f>
        <v>Enterprise</v>
      </c>
      <c r="F110" s="62" t="s">
        <v>31</v>
      </c>
      <c r="H110" s="90">
        <f t="shared" ref="H110" si="86">(H54*H94+H100*H86*H54)/10^3</f>
        <v>86</v>
      </c>
      <c r="J110" s="87"/>
      <c r="L110" s="75">
        <f t="shared" ref="L110:W110" si="87">IF(L$49,$H110,K134)</f>
        <v>86</v>
      </c>
      <c r="M110" s="75">
        <f t="shared" si="87"/>
        <v>128.13999999999999</v>
      </c>
      <c r="N110" s="75">
        <f t="shared" si="87"/>
        <v>179.53658999999996</v>
      </c>
      <c r="O110" s="75">
        <f t="shared" si="87"/>
        <v>236.06461890699998</v>
      </c>
      <c r="P110" s="75">
        <f t="shared" si="87"/>
        <v>298.21726483698507</v>
      </c>
      <c r="Q110" s="75">
        <f t="shared" si="87"/>
        <v>366.52974293033031</v>
      </c>
      <c r="R110" s="75">
        <f t="shared" si="87"/>
        <v>441.58269785972584</v>
      </c>
      <c r="S110" s="75">
        <f t="shared" si="87"/>
        <v>524.00586045065825</v>
      </c>
      <c r="T110" s="75">
        <f t="shared" si="87"/>
        <v>614.48198848233153</v>
      </c>
      <c r="U110" s="75">
        <f t="shared" si="87"/>
        <v>713.75111323535316</v>
      </c>
      <c r="V110" s="75">
        <f t="shared" si="87"/>
        <v>822.61511496139826</v>
      </c>
      <c r="W110" s="75">
        <f t="shared" si="87"/>
        <v>941.94265217746238</v>
      </c>
    </row>
    <row r="111" spans="1:23" x14ac:dyDescent="0.5">
      <c r="B111" s="80" t="s">
        <v>183</v>
      </c>
      <c r="C111" s="80"/>
      <c r="D111" s="80"/>
      <c r="E111" s="80"/>
      <c r="F111" s="81" t="s">
        <v>31</v>
      </c>
      <c r="G111" s="80"/>
      <c r="H111" s="82"/>
      <c r="I111" s="80"/>
      <c r="J111" s="91"/>
      <c r="K111" s="80"/>
      <c r="L111" s="82">
        <f>SUM(L108:L110)</f>
        <v>415</v>
      </c>
      <c r="M111" s="82">
        <f t="shared" ref="M111" si="88">SUM(M108:M110)</f>
        <v>498.80999999999995</v>
      </c>
      <c r="N111" s="82">
        <f t="shared" ref="N111" si="89">SUM(N108:N110)</f>
        <v>596.62551699999995</v>
      </c>
      <c r="O111" s="82">
        <f t="shared" ref="O111" si="90">SUM(O108:O110)</f>
        <v>700.40132285790003</v>
      </c>
      <c r="P111" s="82">
        <f t="shared" ref="P111" si="91">SUM(P108:P110)</f>
        <v>810.71897443128614</v>
      </c>
      <c r="Q111" s="82">
        <f t="shared" ref="Q111" si="92">SUM(Q108:Q110)</f>
        <v>928.20382124640173</v>
      </c>
      <c r="R111" s="82">
        <f t="shared" ref="R111" si="93">SUM(R108:R110)</f>
        <v>1053.5285546329296</v>
      </c>
      <c r="S111" s="82">
        <f t="shared" ref="S111" si="94">SUM(S108:S110)</f>
        <v>1187.4170234901155</v>
      </c>
      <c r="T111" s="82">
        <f t="shared" ref="T111" si="95">SUM(T108:T110)</f>
        <v>1330.6483370314786</v>
      </c>
      <c r="U111" s="82">
        <f t="shared" ref="U111" si="96">SUM(U108:U110)</f>
        <v>1484.0612763565628</v>
      </c>
      <c r="V111" s="82">
        <f t="shared" ref="V111" si="97">SUM(V108:V110)</f>
        <v>1648.5590383103586</v>
      </c>
      <c r="W111" s="82">
        <f t="shared" ref="W111" si="98">SUM(W108:W110)</f>
        <v>1825.1143368222313</v>
      </c>
    </row>
    <row r="113" spans="2:23" x14ac:dyDescent="0.5">
      <c r="B113" s="77" t="s">
        <v>187</v>
      </c>
    </row>
    <row r="114" spans="2:23" x14ac:dyDescent="0.5">
      <c r="B114" s="2" t="str">
        <f>INP!$H$21</f>
        <v>SMB</v>
      </c>
      <c r="F114" s="62" t="s">
        <v>31</v>
      </c>
      <c r="L114" s="75">
        <f>(L58*L92+L98*L84*L58)/10^3</f>
        <v>22.5</v>
      </c>
      <c r="M114" s="75">
        <f t="shared" ref="M114:W114" si="99">(M58*M92+M98*M84*M58)/10^3</f>
        <v>22.625</v>
      </c>
      <c r="N114" s="75">
        <f t="shared" si="99"/>
        <v>22.751249999999999</v>
      </c>
      <c r="O114" s="75">
        <f t="shared" si="99"/>
        <v>22.878762499999997</v>
      </c>
      <c r="P114" s="75">
        <f t="shared" si="99"/>
        <v>23.007550125000002</v>
      </c>
      <c r="Q114" s="75">
        <f t="shared" si="99"/>
        <v>23.137625626249999</v>
      </c>
      <c r="R114" s="75">
        <f t="shared" si="99"/>
        <v>23.269001882512502</v>
      </c>
      <c r="S114" s="75">
        <f t="shared" si="99"/>
        <v>23.401691901337628</v>
      </c>
      <c r="T114" s="75">
        <f t="shared" si="99"/>
        <v>23.535708820351001</v>
      </c>
      <c r="U114" s="75">
        <f t="shared" si="99"/>
        <v>23.671065908554514</v>
      </c>
      <c r="V114" s="75">
        <f t="shared" si="99"/>
        <v>23.807776567640058</v>
      </c>
      <c r="W114" s="75">
        <f t="shared" si="99"/>
        <v>23.945854333316458</v>
      </c>
    </row>
    <row r="115" spans="2:23" x14ac:dyDescent="0.5">
      <c r="B115" s="2" t="str">
        <f>INP!$I$21</f>
        <v>Mid-Market</v>
      </c>
      <c r="F115" s="62" t="s">
        <v>31</v>
      </c>
      <c r="L115" s="75">
        <f t="shared" ref="L115:W115" si="100">(L59*L93+L99*L85*L59)/10^3</f>
        <v>32.5</v>
      </c>
      <c r="M115" s="75">
        <f t="shared" si="100"/>
        <v>33.4</v>
      </c>
      <c r="N115" s="75">
        <f t="shared" si="100"/>
        <v>34.336000000000006</v>
      </c>
      <c r="O115" s="75">
        <f t="shared" si="100"/>
        <v>35.309440000000009</v>
      </c>
      <c r="P115" s="75">
        <f t="shared" si="100"/>
        <v>36.32181760000001</v>
      </c>
      <c r="Q115" s="75">
        <f t="shared" si="100"/>
        <v>37.374690304000005</v>
      </c>
      <c r="R115" s="75">
        <f t="shared" si="100"/>
        <v>38.469677916160016</v>
      </c>
      <c r="S115" s="75">
        <f t="shared" si="100"/>
        <v>39.608465032806407</v>
      </c>
      <c r="T115" s="75">
        <f t="shared" si="100"/>
        <v>40.792803634118663</v>
      </c>
      <c r="U115" s="75">
        <f t="shared" si="100"/>
        <v>42.024515779483416</v>
      </c>
      <c r="V115" s="75">
        <f t="shared" si="100"/>
        <v>43.305496410662755</v>
      </c>
      <c r="W115" s="75">
        <f t="shared" si="100"/>
        <v>44.637716267089267</v>
      </c>
    </row>
    <row r="116" spans="2:23" x14ac:dyDescent="0.5">
      <c r="B116" s="2" t="str">
        <f>INP!$J$21</f>
        <v>Enterprise</v>
      </c>
      <c r="F116" s="62" t="s">
        <v>31</v>
      </c>
      <c r="L116" s="75">
        <f t="shared" ref="L116:W116" si="101">(L60*L94+L100*L86*L60)/10^3</f>
        <v>43</v>
      </c>
      <c r="M116" s="75">
        <f t="shared" si="101"/>
        <v>45.45</v>
      </c>
      <c r="N116" s="75">
        <f t="shared" si="101"/>
        <v>48.071500000000007</v>
      </c>
      <c r="O116" s="75">
        <f t="shared" si="101"/>
        <v>50.876505000000002</v>
      </c>
      <c r="P116" s="75">
        <f t="shared" si="101"/>
        <v>53.877860350000013</v>
      </c>
      <c r="Q116" s="75">
        <f t="shared" si="101"/>
        <v>57.089310574500011</v>
      </c>
      <c r="R116" s="75">
        <f t="shared" si="101"/>
        <v>60.525562314715017</v>
      </c>
      <c r="S116" s="75">
        <f t="shared" si="101"/>
        <v>64.202351676745067</v>
      </c>
      <c r="T116" s="75">
        <f t="shared" si="101"/>
        <v>68.136516294117229</v>
      </c>
      <c r="U116" s="75">
        <f t="shared" si="101"/>
        <v>72.34607243470542</v>
      </c>
      <c r="V116" s="75">
        <f t="shared" si="101"/>
        <v>76.850297505134819</v>
      </c>
      <c r="W116" s="75">
        <f t="shared" si="101"/>
        <v>81.669818330494252</v>
      </c>
    </row>
    <row r="117" spans="2:23" x14ac:dyDescent="0.5">
      <c r="B117" s="80" t="str">
        <f>B111</f>
        <v>TOTAL</v>
      </c>
      <c r="C117" s="80"/>
      <c r="D117" s="80"/>
      <c r="E117" s="80"/>
      <c r="F117" s="81" t="s">
        <v>31</v>
      </c>
      <c r="G117" s="80"/>
      <c r="H117" s="80"/>
      <c r="I117" s="80"/>
      <c r="J117" s="80"/>
      <c r="K117" s="80"/>
      <c r="L117" s="82">
        <f>SUM(L114:L116)</f>
        <v>98</v>
      </c>
      <c r="M117" s="82">
        <f t="shared" ref="M117:W117" si="102">SUM(M114:M116)</f>
        <v>101.47499999999999</v>
      </c>
      <c r="N117" s="82">
        <f t="shared" si="102"/>
        <v>105.15875000000001</v>
      </c>
      <c r="O117" s="82">
        <f t="shared" si="102"/>
        <v>109.0647075</v>
      </c>
      <c r="P117" s="82">
        <f t="shared" si="102"/>
        <v>113.20722807500002</v>
      </c>
      <c r="Q117" s="82">
        <f t="shared" si="102"/>
        <v>117.60162650475002</v>
      </c>
      <c r="R117" s="82">
        <f t="shared" si="102"/>
        <v>122.26424211338754</v>
      </c>
      <c r="S117" s="82">
        <f t="shared" si="102"/>
        <v>127.2125086108891</v>
      </c>
      <c r="T117" s="82">
        <f t="shared" si="102"/>
        <v>132.46502874858689</v>
      </c>
      <c r="U117" s="82">
        <f t="shared" si="102"/>
        <v>138.04165412274335</v>
      </c>
      <c r="V117" s="82">
        <f t="shared" si="102"/>
        <v>143.96357048343765</v>
      </c>
      <c r="W117" s="82">
        <f t="shared" si="102"/>
        <v>150.25338893089997</v>
      </c>
    </row>
    <row r="119" spans="2:23" x14ac:dyDescent="0.5">
      <c r="B119" s="77" t="s">
        <v>202</v>
      </c>
    </row>
    <row r="120" spans="2:23" x14ac:dyDescent="0.5">
      <c r="B120" s="2" t="str">
        <f>INP!$H$21</f>
        <v>SMB</v>
      </c>
      <c r="F120" s="62" t="s">
        <v>31</v>
      </c>
      <c r="L120" s="75">
        <f>(L84-IF(L$49,$H84,K84))*L52/10^3*L98</f>
        <v>0</v>
      </c>
      <c r="M120" s="75">
        <f t="shared" ref="M120:W120" si="103">(M84-IF(M$49,$H84,L84))*M52/10^3*M98</f>
        <v>1.3124999999999953</v>
      </c>
      <c r="N120" s="75">
        <f t="shared" si="103"/>
        <v>1.3855937500000117</v>
      </c>
      <c r="O120" s="75">
        <f t="shared" si="103"/>
        <v>1.456989703124999</v>
      </c>
      <c r="P120" s="75">
        <f t="shared" si="103"/>
        <v>1.5267692451484345</v>
      </c>
      <c r="Q120" s="75">
        <f t="shared" si="103"/>
        <v>1.5950105919699247</v>
      </c>
      <c r="R120" s="75">
        <f t="shared" si="103"/>
        <v>1.6617889192576558</v>
      </c>
      <c r="S120" s="75">
        <f t="shared" si="103"/>
        <v>1.7271764868528428</v>
      </c>
      <c r="T120" s="75">
        <f t="shared" si="103"/>
        <v>1.791242758148661</v>
      </c>
      <c r="U120" s="75">
        <f t="shared" si="103"/>
        <v>1.8540545146471503</v>
      </c>
      <c r="V120" s="75">
        <f t="shared" si="103"/>
        <v>1.9156759658895077</v>
      </c>
      <c r="W120" s="75">
        <f t="shared" si="103"/>
        <v>1.9761688549473768</v>
      </c>
    </row>
    <row r="121" spans="2:23" x14ac:dyDescent="0.5">
      <c r="B121" s="2" t="str">
        <f>INP!$I$21</f>
        <v>Mid-Market</v>
      </c>
      <c r="F121" s="62" t="s">
        <v>31</v>
      </c>
      <c r="L121" s="75">
        <f t="shared" ref="L121:W121" si="104">(L85-IF(L$49,$H85,K85))*L53/10^3*L99</f>
        <v>0</v>
      </c>
      <c r="M121" s="75">
        <f t="shared" si="104"/>
        <v>3.7224000000000093</v>
      </c>
      <c r="N121" s="75">
        <f t="shared" si="104"/>
        <v>4.7298700800000182</v>
      </c>
      <c r="O121" s="75">
        <f t="shared" si="104"/>
        <v>5.7941235855360214</v>
      </c>
      <c r="P121" s="75">
        <f t="shared" si="104"/>
        <v>6.9177483583782839</v>
      </c>
      <c r="Q121" s="75">
        <f t="shared" si="104"/>
        <v>8.1034418308591576</v>
      </c>
      <c r="R121" s="75">
        <f t="shared" si="104"/>
        <v>9.35401552617164</v>
      </c>
      <c r="S121" s="75">
        <f t="shared" si="104"/>
        <v>10.672399740920545</v>
      </c>
      <c r="T121" s="75">
        <f t="shared" si="104"/>
        <v>12.061648417258471</v>
      </c>
      <c r="U121" s="75">
        <f t="shared" si="104"/>
        <v>13.524944212234622</v>
      </c>
      <c r="V121" s="75">
        <f t="shared" si="104"/>
        <v>15.065603772288869</v>
      </c>
      <c r="W121" s="75">
        <f t="shared" si="104"/>
        <v>16.687083221143318</v>
      </c>
    </row>
    <row r="122" spans="2:23" x14ac:dyDescent="0.5">
      <c r="B122" s="2" t="str">
        <f>INP!$J$21</f>
        <v>Enterprise</v>
      </c>
      <c r="F122" s="62" t="s">
        <v>31</v>
      </c>
      <c r="L122" s="75">
        <f t="shared" ref="L122:W122" si="105">(L86-IF(L$49,$H86,K86))*L54/10^3*L100</f>
        <v>0</v>
      </c>
      <c r="M122" s="75">
        <f t="shared" si="105"/>
        <v>7.3010000000000002</v>
      </c>
      <c r="N122" s="75">
        <f t="shared" si="105"/>
        <v>10.355449300000013</v>
      </c>
      <c r="O122" s="75">
        <f t="shared" si="105"/>
        <v>13.77453244349001</v>
      </c>
      <c r="P122" s="75">
        <f t="shared" si="105"/>
        <v>17.592717567388977</v>
      </c>
      <c r="Q122" s="75">
        <f t="shared" si="105"/>
        <v>21.847415943635163</v>
      </c>
      <c r="R122" s="75">
        <f t="shared" si="105"/>
        <v>26.579219449307715</v>
      </c>
      <c r="S122" s="75">
        <f t="shared" si="105"/>
        <v>31.832156524681693</v>
      </c>
      <c r="T122" s="75">
        <f t="shared" si="105"/>
        <v>37.653968023967479</v>
      </c>
      <c r="U122" s="75">
        <f t="shared" si="105"/>
        <v>44.096404468376967</v>
      </c>
      <c r="V122" s="75">
        <f t="shared" si="105"/>
        <v>51.215546323781155</v>
      </c>
      <c r="W122" s="75">
        <f t="shared" si="105"/>
        <v>59.072149046140744</v>
      </c>
    </row>
    <row r="123" spans="2:23" x14ac:dyDescent="0.5">
      <c r="B123" s="80" t="str">
        <f>B117</f>
        <v>TOTAL</v>
      </c>
      <c r="C123" s="80"/>
      <c r="D123" s="80"/>
      <c r="E123" s="80"/>
      <c r="F123" s="81" t="s">
        <v>31</v>
      </c>
      <c r="G123" s="80"/>
      <c r="H123" s="80"/>
      <c r="I123" s="80"/>
      <c r="J123" s="80"/>
      <c r="K123" s="80"/>
      <c r="L123" s="82">
        <f t="shared" ref="L123" si="106">SUM(L120:L122)</f>
        <v>0</v>
      </c>
      <c r="M123" s="82">
        <f t="shared" ref="M123" si="107">SUM(M120:M122)</f>
        <v>12.335900000000006</v>
      </c>
      <c r="N123" s="82">
        <f t="shared" ref="N123" si="108">SUM(N120:N122)</f>
        <v>16.470913130000042</v>
      </c>
      <c r="O123" s="82">
        <f t="shared" ref="O123" si="109">SUM(O120:O122)</f>
        <v>21.02564573215103</v>
      </c>
      <c r="P123" s="82">
        <f t="shared" ref="P123" si="110">SUM(P120:P122)</f>
        <v>26.037235170915693</v>
      </c>
      <c r="Q123" s="82">
        <f t="shared" ref="Q123" si="111">SUM(Q120:Q122)</f>
        <v>31.545868366464244</v>
      </c>
      <c r="R123" s="82">
        <f t="shared" ref="R123" si="112">SUM(R120:R122)</f>
        <v>37.595023894737011</v>
      </c>
      <c r="S123" s="82">
        <f t="shared" ref="S123" si="113">SUM(S120:S122)</f>
        <v>44.231732752455081</v>
      </c>
      <c r="T123" s="82">
        <f t="shared" ref="T123" si="114">SUM(T120:T122)</f>
        <v>51.50685919937461</v>
      </c>
      <c r="U123" s="82">
        <f t="shared" ref="U123" si="115">SUM(U120:U122)</f>
        <v>59.475403195258735</v>
      </c>
      <c r="V123" s="82">
        <f t="shared" ref="V123" si="116">SUM(V120:V122)</f>
        <v>68.196826061959527</v>
      </c>
      <c r="W123" s="82">
        <f t="shared" ref="W123" si="117">SUM(W120:W122)</f>
        <v>77.735401122231437</v>
      </c>
    </row>
    <row r="125" spans="2:23" x14ac:dyDescent="0.5">
      <c r="B125" s="77" t="s">
        <v>186</v>
      </c>
    </row>
    <row r="126" spans="2:23" x14ac:dyDescent="0.5">
      <c r="B126" s="2" t="str">
        <f>INP!$H$21</f>
        <v>SMB</v>
      </c>
      <c r="F126" s="62" t="s">
        <v>31</v>
      </c>
      <c r="L126" s="75">
        <f>(L64*L92+L98*L84*L64)/10^3</f>
        <v>-11.25</v>
      </c>
      <c r="M126" s="75">
        <f t="shared" ref="M126:W126" si="118">(M64*M92+M98*M84*M64)/10^3</f>
        <v>-11.878125000000001</v>
      </c>
      <c r="N126" s="75">
        <f t="shared" si="118"/>
        <v>-12.4847484375</v>
      </c>
      <c r="O126" s="75">
        <f t="shared" si="118"/>
        <v>-13.070923000781249</v>
      </c>
      <c r="P126" s="75">
        <f t="shared" si="118"/>
        <v>-13.637653437999612</v>
      </c>
      <c r="Q126" s="75">
        <f t="shared" si="118"/>
        <v>-14.185898801948126</v>
      </c>
      <c r="R126" s="75">
        <f t="shared" si="118"/>
        <v>-14.716574589126104</v>
      </c>
      <c r="S126" s="75">
        <f t="shared" si="118"/>
        <v>-15.230554778138066</v>
      </c>
      <c r="T126" s="75">
        <f t="shared" si="118"/>
        <v>-15.728673772205477</v>
      </c>
      <c r="U126" s="75">
        <f t="shared" si="118"/>
        <v>-16.211728250345111</v>
      </c>
      <c r="V126" s="75">
        <f t="shared" si="118"/>
        <v>-16.680478931550059</v>
      </c>
      <c r="W126" s="75">
        <f t="shared" si="118"/>
        <v>-17.135652256101931</v>
      </c>
    </row>
    <row r="127" spans="2:23" x14ac:dyDescent="0.5">
      <c r="B127" s="2" t="str">
        <f>INP!$I$21</f>
        <v>Mid-Market</v>
      </c>
      <c r="F127" s="62" t="s">
        <v>31</v>
      </c>
      <c r="L127" s="75">
        <f t="shared" ref="L127:W127" si="119">(L65*L93+L99*L85*L65)/10^3</f>
        <v>-2.08</v>
      </c>
      <c r="M127" s="75">
        <f t="shared" si="119"/>
        <v>-2.7628480000000004</v>
      </c>
      <c r="N127" s="75">
        <f t="shared" si="119"/>
        <v>-3.4701884416000008</v>
      </c>
      <c r="O127" s="75">
        <f t="shared" si="119"/>
        <v>-4.2033871444787216</v>
      </c>
      <c r="P127" s="75">
        <f t="shared" si="119"/>
        <v>-4.9638631687567125</v>
      </c>
      <c r="Q127" s="75">
        <f t="shared" si="119"/>
        <v>-5.7530910939987612</v>
      </c>
      <c r="R127" s="75">
        <f t="shared" si="119"/>
        <v>-6.5726033887222197</v>
      </c>
      <c r="S127" s="75">
        <f t="shared" si="119"/>
        <v>-7.423992874089385</v>
      </c>
      <c r="T127" s="75">
        <f t="shared" si="119"/>
        <v>-8.3089152856088972</v>
      </c>
      <c r="U127" s="75">
        <f t="shared" si="119"/>
        <v>-9.2290919368237851</v>
      </c>
      <c r="V127" s="75">
        <f t="shared" si="119"/>
        <v>-10.186312489122754</v>
      </c>
      <c r="W127" s="75">
        <f t="shared" si="119"/>
        <v>-11.182437831976422</v>
      </c>
    </row>
    <row r="128" spans="2:23" x14ac:dyDescent="0.5">
      <c r="B128" s="2" t="str">
        <f>INP!$J$21</f>
        <v>Enterprise</v>
      </c>
      <c r="F128" s="62" t="s">
        <v>31</v>
      </c>
      <c r="L128" s="75">
        <f t="shared" ref="L128:W128" si="120">(L66*L94+L100*L86*L66)/10^3</f>
        <v>-0.86</v>
      </c>
      <c r="M128" s="75">
        <f t="shared" si="120"/>
        <v>-1.3544099999999999</v>
      </c>
      <c r="N128" s="75">
        <f t="shared" si="120"/>
        <v>-1.8989203930000003</v>
      </c>
      <c r="O128" s="75">
        <f t="shared" si="120"/>
        <v>-2.4983915135049002</v>
      </c>
      <c r="P128" s="75">
        <f t="shared" si="120"/>
        <v>-3.1580998240437412</v>
      </c>
      <c r="Q128" s="75">
        <f t="shared" si="120"/>
        <v>-3.8837715887396556</v>
      </c>
      <c r="R128" s="75">
        <f t="shared" si="120"/>
        <v>-4.6816191730903363</v>
      </c>
      <c r="S128" s="75">
        <f t="shared" si="120"/>
        <v>-5.5583801697534003</v>
      </c>
      <c r="T128" s="75">
        <f t="shared" si="120"/>
        <v>-6.5213595650629923</v>
      </c>
      <c r="U128" s="75">
        <f t="shared" si="120"/>
        <v>-7.5784751770373031</v>
      </c>
      <c r="V128" s="75">
        <f t="shared" si="120"/>
        <v>-8.7383066128517974</v>
      </c>
      <c r="W128" s="75">
        <f t="shared" si="120"/>
        <v>-10.010148012236034</v>
      </c>
    </row>
    <row r="129" spans="2:23" x14ac:dyDescent="0.5">
      <c r="B129" s="80" t="str">
        <f>B123</f>
        <v>TOTAL</v>
      </c>
      <c r="C129" s="80"/>
      <c r="D129" s="80"/>
      <c r="E129" s="80"/>
      <c r="F129" s="81" t="s">
        <v>31</v>
      </c>
      <c r="G129" s="80"/>
      <c r="H129" s="80"/>
      <c r="I129" s="80"/>
      <c r="J129" s="80"/>
      <c r="K129" s="80"/>
      <c r="L129" s="82">
        <f>SUM(L126:L128)</f>
        <v>-14.19</v>
      </c>
      <c r="M129" s="82">
        <f t="shared" ref="M129:W129" si="121">SUM(M126:M128)</f>
        <v>-15.995383</v>
      </c>
      <c r="N129" s="82">
        <f t="shared" si="121"/>
        <v>-17.853857272100001</v>
      </c>
      <c r="O129" s="82">
        <f t="shared" si="121"/>
        <v>-19.77270165876487</v>
      </c>
      <c r="P129" s="82">
        <f t="shared" si="121"/>
        <v>-21.759616430800065</v>
      </c>
      <c r="Q129" s="82">
        <f t="shared" si="121"/>
        <v>-23.822761484686541</v>
      </c>
      <c r="R129" s="82">
        <f t="shared" si="121"/>
        <v>-25.970797150938662</v>
      </c>
      <c r="S129" s="82">
        <f t="shared" si="121"/>
        <v>-28.212927821980848</v>
      </c>
      <c r="T129" s="82">
        <f t="shared" si="121"/>
        <v>-30.558948622877367</v>
      </c>
      <c r="U129" s="82">
        <f t="shared" si="121"/>
        <v>-33.019295364206201</v>
      </c>
      <c r="V129" s="82">
        <f t="shared" si="121"/>
        <v>-35.605098033524612</v>
      </c>
      <c r="W129" s="82">
        <f t="shared" si="121"/>
        <v>-38.328238100314387</v>
      </c>
    </row>
    <row r="131" spans="2:23" x14ac:dyDescent="0.5">
      <c r="B131" s="77" t="s">
        <v>185</v>
      </c>
    </row>
    <row r="132" spans="2:23" x14ac:dyDescent="0.5">
      <c r="B132" s="2" t="str">
        <f>INP!$H$21</f>
        <v>SMB</v>
      </c>
      <c r="F132" s="62" t="s">
        <v>31</v>
      </c>
      <c r="J132" s="92"/>
      <c r="K132" s="92"/>
      <c r="L132" s="75">
        <f>SUM(L108,L114,L120,L126)</f>
        <v>236.25</v>
      </c>
      <c r="M132" s="75">
        <f t="shared" ref="M132:W132" si="122">SUM(M108,M114,M120,M126)</f>
        <v>248.30937499999999</v>
      </c>
      <c r="N132" s="75">
        <f t="shared" si="122"/>
        <v>259.96147031249996</v>
      </c>
      <c r="O132" s="75">
        <f t="shared" si="122"/>
        <v>271.22629951484367</v>
      </c>
      <c r="P132" s="75">
        <f t="shared" si="122"/>
        <v>282.12296544699251</v>
      </c>
      <c r="Q132" s="75">
        <f t="shared" si="122"/>
        <v>292.66970286326432</v>
      </c>
      <c r="R132" s="75">
        <f t="shared" si="122"/>
        <v>302.88391907590841</v>
      </c>
      <c r="S132" s="75">
        <f t="shared" si="122"/>
        <v>312.78223268596082</v>
      </c>
      <c r="T132" s="75">
        <f t="shared" si="122"/>
        <v>322.38051049225498</v>
      </c>
      <c r="U132" s="75">
        <f t="shared" si="122"/>
        <v>331.69390266511152</v>
      </c>
      <c r="V132" s="75">
        <f t="shared" si="122"/>
        <v>340.73687626709108</v>
      </c>
      <c r="W132" s="75">
        <f t="shared" si="122"/>
        <v>349.52324719925298</v>
      </c>
    </row>
    <row r="133" spans="2:23" x14ac:dyDescent="0.5">
      <c r="B133" s="2" t="str">
        <f>INP!$I$21</f>
        <v>Mid-Market</v>
      </c>
      <c r="F133" s="62" t="s">
        <v>31</v>
      </c>
      <c r="J133" s="92"/>
      <c r="K133" s="92"/>
      <c r="L133" s="75">
        <f t="shared" ref="L133:W133" si="123">SUM(L109,L115,L121,L127)</f>
        <v>134.41999999999999</v>
      </c>
      <c r="M133" s="75">
        <f t="shared" si="123"/>
        <v>168.77955200000002</v>
      </c>
      <c r="N133" s="75">
        <f t="shared" si="123"/>
        <v>204.37523363840006</v>
      </c>
      <c r="O133" s="75">
        <f t="shared" si="123"/>
        <v>241.27541007945737</v>
      </c>
      <c r="P133" s="75">
        <f t="shared" si="123"/>
        <v>279.55111286907896</v>
      </c>
      <c r="Q133" s="75">
        <f t="shared" si="123"/>
        <v>319.27615390993935</v>
      </c>
      <c r="R133" s="75">
        <f t="shared" si="123"/>
        <v>360.52724396354881</v>
      </c>
      <c r="S133" s="75">
        <f t="shared" si="123"/>
        <v>403.38411586318637</v>
      </c>
      <c r="T133" s="75">
        <f t="shared" si="123"/>
        <v>447.92965262895461</v>
      </c>
      <c r="U133" s="75">
        <f t="shared" si="123"/>
        <v>494.25002068384885</v>
      </c>
      <c r="V133" s="75">
        <f t="shared" si="123"/>
        <v>542.43480837767777</v>
      </c>
      <c r="W133" s="75">
        <f t="shared" si="123"/>
        <v>592.57717003393384</v>
      </c>
    </row>
    <row r="134" spans="2:23" x14ac:dyDescent="0.5">
      <c r="B134" s="2" t="str">
        <f>INP!$J$21</f>
        <v>Enterprise</v>
      </c>
      <c r="F134" s="62" t="s">
        <v>31</v>
      </c>
      <c r="J134" s="92"/>
      <c r="K134" s="92"/>
      <c r="L134" s="75">
        <f t="shared" ref="L134:W134" si="124">SUM(L110,L116,L122,L128)</f>
        <v>128.13999999999999</v>
      </c>
      <c r="M134" s="75">
        <f t="shared" si="124"/>
        <v>179.53658999999996</v>
      </c>
      <c r="N134" s="75">
        <f t="shared" si="124"/>
        <v>236.06461890699998</v>
      </c>
      <c r="O134" s="75">
        <f t="shared" si="124"/>
        <v>298.21726483698507</v>
      </c>
      <c r="P134" s="75">
        <f t="shared" si="124"/>
        <v>366.52974293033031</v>
      </c>
      <c r="Q134" s="75">
        <f t="shared" si="124"/>
        <v>441.58269785972584</v>
      </c>
      <c r="R134" s="75">
        <f t="shared" si="124"/>
        <v>524.00586045065825</v>
      </c>
      <c r="S134" s="75">
        <f t="shared" si="124"/>
        <v>614.48198848233153</v>
      </c>
      <c r="T134" s="75">
        <f t="shared" si="124"/>
        <v>713.75111323535316</v>
      </c>
      <c r="U134" s="75">
        <f t="shared" si="124"/>
        <v>822.61511496139826</v>
      </c>
      <c r="V134" s="75">
        <f t="shared" si="124"/>
        <v>941.94265217746238</v>
      </c>
      <c r="W134" s="75">
        <f t="shared" si="124"/>
        <v>1072.6744715418615</v>
      </c>
    </row>
    <row r="135" spans="2:23" x14ac:dyDescent="0.5">
      <c r="B135" s="80" t="str">
        <f>B129</f>
        <v>TOTAL</v>
      </c>
      <c r="C135" s="80"/>
      <c r="D135" s="80"/>
      <c r="E135" s="80"/>
      <c r="F135" s="81" t="s">
        <v>31</v>
      </c>
      <c r="G135" s="80"/>
      <c r="H135" s="80"/>
      <c r="I135" s="80"/>
      <c r="J135" s="93"/>
      <c r="K135" s="93"/>
      <c r="L135" s="82">
        <f>SUM(L132:L134)</f>
        <v>498.80999999999995</v>
      </c>
      <c r="M135" s="82">
        <f t="shared" ref="M135" si="125">SUM(M132:M134)</f>
        <v>596.62551699999995</v>
      </c>
      <c r="N135" s="82">
        <f t="shared" ref="N135" si="126">SUM(N132:N134)</f>
        <v>700.40132285790003</v>
      </c>
      <c r="O135" s="82">
        <f t="shared" ref="O135" si="127">SUM(O132:O134)</f>
        <v>810.71897443128614</v>
      </c>
      <c r="P135" s="82">
        <f t="shared" ref="P135" si="128">SUM(P132:P134)</f>
        <v>928.20382124640173</v>
      </c>
      <c r="Q135" s="82">
        <f t="shared" ref="Q135" si="129">SUM(Q132:Q134)</f>
        <v>1053.5285546329296</v>
      </c>
      <c r="R135" s="82">
        <f t="shared" ref="R135" si="130">SUM(R132:R134)</f>
        <v>1187.4170234901155</v>
      </c>
      <c r="S135" s="82">
        <f t="shared" ref="S135" si="131">SUM(S132:S134)</f>
        <v>1330.6483370314786</v>
      </c>
      <c r="T135" s="82">
        <f t="shared" ref="T135" si="132">SUM(T132:T134)</f>
        <v>1484.0612763565628</v>
      </c>
      <c r="U135" s="82">
        <f t="shared" ref="U135" si="133">SUM(U132:U134)</f>
        <v>1648.5590383103586</v>
      </c>
      <c r="V135" s="82">
        <f t="shared" ref="V135" si="134">SUM(V132:V134)</f>
        <v>1825.1143368222313</v>
      </c>
      <c r="W135" s="82">
        <f t="shared" ref="W135" si="135">SUM(W132:W134)</f>
        <v>2014.7748887750483</v>
      </c>
    </row>
    <row r="137" spans="2:23" x14ac:dyDescent="0.5">
      <c r="B137" s="70" t="s">
        <v>20</v>
      </c>
      <c r="C137" s="71"/>
      <c r="D137" s="71"/>
      <c r="E137" s="71"/>
      <c r="F137" s="72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</row>
    <row r="139" spans="2:23" x14ac:dyDescent="0.5">
      <c r="B139" s="77" t="str">
        <f>B131</f>
        <v>CLOSING</v>
      </c>
    </row>
    <row r="140" spans="2:23" x14ac:dyDescent="0.5">
      <c r="B140" s="2" t="str">
        <f t="shared" ref="B140:B143" si="136">B132</f>
        <v>SMB</v>
      </c>
      <c r="F140" s="62" t="s">
        <v>31</v>
      </c>
      <c r="L140" s="75">
        <f>L132*12</f>
        <v>2835</v>
      </c>
      <c r="M140" s="75">
        <f t="shared" ref="M140:W140" si="137">M132*12</f>
        <v>2979.7124999999996</v>
      </c>
      <c r="N140" s="75">
        <f t="shared" si="137"/>
        <v>3119.5376437499995</v>
      </c>
      <c r="O140" s="75">
        <f t="shared" si="137"/>
        <v>3254.7155941781239</v>
      </c>
      <c r="P140" s="75">
        <f t="shared" si="137"/>
        <v>3385.4755853639099</v>
      </c>
      <c r="Q140" s="75">
        <f t="shared" si="137"/>
        <v>3512.0364343591718</v>
      </c>
      <c r="R140" s="75">
        <f t="shared" si="137"/>
        <v>3634.6070289109011</v>
      </c>
      <c r="S140" s="75">
        <f t="shared" si="137"/>
        <v>3753.3867922315299</v>
      </c>
      <c r="T140" s="75">
        <f t="shared" si="137"/>
        <v>3868.5661259070598</v>
      </c>
      <c r="U140" s="75">
        <f t="shared" si="137"/>
        <v>3980.3268319813383</v>
      </c>
      <c r="V140" s="75">
        <f t="shared" si="137"/>
        <v>4088.8425152050932</v>
      </c>
      <c r="W140" s="75">
        <f t="shared" si="137"/>
        <v>4194.2789663910353</v>
      </c>
    </row>
    <row r="141" spans="2:23" x14ac:dyDescent="0.5">
      <c r="B141" s="2" t="str">
        <f t="shared" si="136"/>
        <v>Mid-Market</v>
      </c>
      <c r="F141" s="62" t="s">
        <v>31</v>
      </c>
      <c r="L141" s="75">
        <f t="shared" ref="L141:W141" si="138">L133*12</f>
        <v>1613.04</v>
      </c>
      <c r="M141" s="75">
        <f t="shared" si="138"/>
        <v>2025.3546240000003</v>
      </c>
      <c r="N141" s="75">
        <f t="shared" si="138"/>
        <v>2452.502803660801</v>
      </c>
      <c r="O141" s="75">
        <f t="shared" si="138"/>
        <v>2895.3049209534884</v>
      </c>
      <c r="P141" s="75">
        <f t="shared" si="138"/>
        <v>3354.6133544289478</v>
      </c>
      <c r="Q141" s="75">
        <f t="shared" si="138"/>
        <v>3831.3138469192722</v>
      </c>
      <c r="R141" s="75">
        <f t="shared" si="138"/>
        <v>4326.3269275625862</v>
      </c>
      <c r="S141" s="75">
        <f t="shared" si="138"/>
        <v>4840.6093903582369</v>
      </c>
      <c r="T141" s="75">
        <f t="shared" si="138"/>
        <v>5375.1558315474558</v>
      </c>
      <c r="U141" s="75">
        <f t="shared" si="138"/>
        <v>5931.0002482061864</v>
      </c>
      <c r="V141" s="75">
        <f t="shared" si="138"/>
        <v>6509.2177005321337</v>
      </c>
      <c r="W141" s="75">
        <f t="shared" si="138"/>
        <v>7110.9260404072065</v>
      </c>
    </row>
    <row r="142" spans="2:23" x14ac:dyDescent="0.5">
      <c r="B142" s="2" t="str">
        <f t="shared" si="136"/>
        <v>Enterprise</v>
      </c>
      <c r="F142" s="62" t="s">
        <v>31</v>
      </c>
      <c r="L142" s="75">
        <f t="shared" ref="L142:W142" si="139">L134*12</f>
        <v>1537.6799999999998</v>
      </c>
      <c r="M142" s="75">
        <f t="shared" si="139"/>
        <v>2154.4390799999996</v>
      </c>
      <c r="N142" s="75">
        <f t="shared" si="139"/>
        <v>2832.7754268839999</v>
      </c>
      <c r="O142" s="75">
        <f t="shared" si="139"/>
        <v>3578.6071780438206</v>
      </c>
      <c r="P142" s="75">
        <f t="shared" si="139"/>
        <v>4398.356915163964</v>
      </c>
      <c r="Q142" s="75">
        <f t="shared" si="139"/>
        <v>5298.9923743167101</v>
      </c>
      <c r="R142" s="75">
        <f t="shared" si="139"/>
        <v>6288.070325407899</v>
      </c>
      <c r="S142" s="75">
        <f t="shared" si="139"/>
        <v>7373.7838617879788</v>
      </c>
      <c r="T142" s="75">
        <f t="shared" si="139"/>
        <v>8565.0133588242388</v>
      </c>
      <c r="U142" s="75">
        <f t="shared" si="139"/>
        <v>9871.3813795367787</v>
      </c>
      <c r="V142" s="75">
        <f t="shared" si="139"/>
        <v>11303.311826129549</v>
      </c>
      <c r="W142" s="75">
        <f t="shared" si="139"/>
        <v>12872.093658502337</v>
      </c>
    </row>
    <row r="143" spans="2:23" s="77" customFormat="1" x14ac:dyDescent="0.5">
      <c r="B143" s="80" t="str">
        <f t="shared" si="136"/>
        <v>TOTAL</v>
      </c>
      <c r="C143" s="80"/>
      <c r="D143" s="80"/>
      <c r="E143" s="80"/>
      <c r="F143" s="81" t="s">
        <v>31</v>
      </c>
      <c r="G143" s="80"/>
      <c r="H143" s="80"/>
      <c r="I143" s="80"/>
      <c r="J143" s="80"/>
      <c r="K143" s="80"/>
      <c r="L143" s="82">
        <f>SUM(L140:L142)</f>
        <v>5985.7199999999993</v>
      </c>
      <c r="M143" s="82">
        <f t="shared" ref="M143:W143" si="140">SUM(M140:M142)</f>
        <v>7159.5062039999993</v>
      </c>
      <c r="N143" s="82">
        <f t="shared" si="140"/>
        <v>8404.8158742947999</v>
      </c>
      <c r="O143" s="82">
        <f t="shared" si="140"/>
        <v>9728.6276931754328</v>
      </c>
      <c r="P143" s="82">
        <f t="shared" si="140"/>
        <v>11138.445854956823</v>
      </c>
      <c r="Q143" s="82">
        <f t="shared" si="140"/>
        <v>12642.342655595156</v>
      </c>
      <c r="R143" s="82">
        <f t="shared" si="140"/>
        <v>14249.004281881385</v>
      </c>
      <c r="S143" s="82">
        <f t="shared" si="140"/>
        <v>15967.780044377745</v>
      </c>
      <c r="T143" s="82">
        <f t="shared" si="140"/>
        <v>17808.735316278755</v>
      </c>
      <c r="U143" s="82">
        <f t="shared" si="140"/>
        <v>19782.708459724301</v>
      </c>
      <c r="V143" s="82">
        <f t="shared" si="140"/>
        <v>21901.372041866776</v>
      </c>
      <c r="W143" s="82">
        <f t="shared" si="140"/>
        <v>24177.298665300579</v>
      </c>
    </row>
    <row r="145" spans="1:23" s="7" customFormat="1" ht="14.4" x14ac:dyDescent="0.55000000000000004">
      <c r="A145" s="163" t="s">
        <v>0</v>
      </c>
      <c r="B145" s="164" t="s">
        <v>180</v>
      </c>
      <c r="C145" s="49"/>
      <c r="D145" s="49"/>
      <c r="E145" s="49"/>
      <c r="F145" s="50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</row>
    <row r="147" spans="1:23" x14ac:dyDescent="0.5"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</row>
    <row r="148" spans="1:23" x14ac:dyDescent="0.5"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</row>
    <row r="149" spans="1:23" x14ac:dyDescent="0.5"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FAB29-BB2D-416B-96D0-F22EA10BBC96}">
  <sheetPr>
    <tabColor theme="0"/>
  </sheetPr>
  <dimension ref="A1:W103"/>
  <sheetViews>
    <sheetView showGridLines="0" zoomScale="85" zoomScaleNormal="85" workbookViewId="0">
      <pane xSplit="11" ySplit="11" topLeftCell="L12" activePane="bottomRight" state="frozen"/>
      <selection activeCell="H7" sqref="H7"/>
      <selection pane="topRight" activeCell="H7" sqref="H7"/>
      <selection pane="bottomLeft" activeCell="H7" sqref="H7"/>
      <selection pane="bottomRight"/>
    </sheetView>
  </sheetViews>
  <sheetFormatPr defaultColWidth="9.3125" defaultRowHeight="12.9" x14ac:dyDescent="0.5"/>
  <cols>
    <col min="1" max="1" width="2.578125" style="2" customWidth="1"/>
    <col min="2" max="5" width="9.3125" style="2"/>
    <col min="6" max="6" width="9.3125" style="62"/>
    <col min="7" max="7" width="9.3125" style="2"/>
    <col min="8" max="8" width="9.3125" style="2" customWidth="1"/>
    <col min="9" max="16384" width="9.3125" style="2"/>
  </cols>
  <sheetData>
    <row r="1" spans="1:23" ht="6" customHeight="1" thickBot="1" x14ac:dyDescent="0.55000000000000004">
      <c r="B1" s="192"/>
      <c r="C1" s="192"/>
      <c r="D1" s="192"/>
      <c r="E1" s="192"/>
      <c r="F1" s="193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</row>
    <row r="2" spans="1:23" s="177" customFormat="1" ht="3" customHeight="1" x14ac:dyDescent="0.55000000000000004">
      <c r="A2" s="176"/>
      <c r="F2" s="178"/>
    </row>
    <row r="3" spans="1:23" s="177" customFormat="1" ht="15.6" x14ac:dyDescent="0.55000000000000004">
      <c r="A3" s="176"/>
      <c r="B3" s="194" t="s">
        <v>160</v>
      </c>
    </row>
    <row r="4" spans="1:23" s="177" customFormat="1" ht="14.4" x14ac:dyDescent="0.55000000000000004">
      <c r="A4" s="176"/>
      <c r="B4" s="179" t="s">
        <v>90</v>
      </c>
    </row>
    <row r="5" spans="1:23" s="177" customFormat="1" ht="3" customHeight="1" x14ac:dyDescent="0.55000000000000004">
      <c r="A5" s="176"/>
      <c r="F5" s="178"/>
    </row>
    <row r="6" spans="1:23" s="181" customFormat="1" x14ac:dyDescent="0.5">
      <c r="A6" s="180"/>
      <c r="B6" s="181" t="s">
        <v>6</v>
      </c>
      <c r="F6" s="182"/>
      <c r="L6" s="183">
        <f>INP!L77</f>
        <v>46053</v>
      </c>
      <c r="M6" s="183">
        <f>INP!M77</f>
        <v>46081</v>
      </c>
      <c r="N6" s="183">
        <f>INP!N77</f>
        <v>46112</v>
      </c>
      <c r="O6" s="183">
        <f>INP!O77</f>
        <v>46142</v>
      </c>
      <c r="P6" s="183">
        <f>INP!P77</f>
        <v>46173</v>
      </c>
      <c r="Q6" s="183">
        <f>INP!Q77</f>
        <v>46203</v>
      </c>
      <c r="R6" s="183">
        <f>INP!R77</f>
        <v>46234</v>
      </c>
      <c r="S6" s="183">
        <f>INP!S77</f>
        <v>46265</v>
      </c>
      <c r="T6" s="183">
        <f>INP!T77</f>
        <v>46295</v>
      </c>
      <c r="U6" s="183">
        <f>INP!U77</f>
        <v>46326</v>
      </c>
      <c r="V6" s="183">
        <f>INP!V77</f>
        <v>46356</v>
      </c>
      <c r="W6" s="183">
        <f>INP!W77</f>
        <v>46387</v>
      </c>
    </row>
    <row r="7" spans="1:23" s="177" customFormat="1" x14ac:dyDescent="0.5">
      <c r="A7" s="176"/>
      <c r="B7" s="177" t="s">
        <v>7</v>
      </c>
      <c r="F7" s="178"/>
      <c r="L7" s="184">
        <f>INP!L78</f>
        <v>46023</v>
      </c>
      <c r="M7" s="184">
        <f>INP!M78</f>
        <v>46054</v>
      </c>
      <c r="N7" s="184">
        <f>INP!N78</f>
        <v>46082</v>
      </c>
      <c r="O7" s="184">
        <f>INP!O78</f>
        <v>46113</v>
      </c>
      <c r="P7" s="184">
        <f>INP!P78</f>
        <v>46143</v>
      </c>
      <c r="Q7" s="184">
        <f>INP!Q78</f>
        <v>46174</v>
      </c>
      <c r="R7" s="184">
        <f>INP!R78</f>
        <v>46204</v>
      </c>
      <c r="S7" s="184">
        <f>INP!S78</f>
        <v>46235</v>
      </c>
      <c r="T7" s="184">
        <f>INP!T78</f>
        <v>46266</v>
      </c>
      <c r="U7" s="184">
        <f>INP!U78</f>
        <v>46296</v>
      </c>
      <c r="V7" s="184">
        <f>INP!V78</f>
        <v>46327</v>
      </c>
      <c r="W7" s="184">
        <f>INP!W78</f>
        <v>46357</v>
      </c>
    </row>
    <row r="8" spans="1:23" s="177" customFormat="1" x14ac:dyDescent="0.5">
      <c r="A8" s="176"/>
      <c r="B8" s="177" t="s">
        <v>8</v>
      </c>
      <c r="F8" s="178"/>
      <c r="L8" s="185">
        <f>INP!L79</f>
        <v>2026</v>
      </c>
      <c r="M8" s="185">
        <f>INP!M79</f>
        <v>2026</v>
      </c>
      <c r="N8" s="185">
        <f>INP!N79</f>
        <v>2026</v>
      </c>
      <c r="O8" s="185">
        <f>INP!O79</f>
        <v>2026</v>
      </c>
      <c r="P8" s="185">
        <f>INP!P79</f>
        <v>2026</v>
      </c>
      <c r="Q8" s="185">
        <f>INP!Q79</f>
        <v>2026</v>
      </c>
      <c r="R8" s="185">
        <f>INP!R79</f>
        <v>2026</v>
      </c>
      <c r="S8" s="185">
        <f>INP!S79</f>
        <v>2026</v>
      </c>
      <c r="T8" s="185">
        <f>INP!T79</f>
        <v>2026</v>
      </c>
      <c r="U8" s="185">
        <f>INP!U79</f>
        <v>2026</v>
      </c>
      <c r="V8" s="185">
        <f>INP!V79</f>
        <v>2026</v>
      </c>
      <c r="W8" s="185">
        <f>INP!W79</f>
        <v>2026</v>
      </c>
    </row>
    <row r="9" spans="1:23" s="177" customFormat="1" x14ac:dyDescent="0.5">
      <c r="A9" s="176"/>
      <c r="B9" s="177" t="s">
        <v>9</v>
      </c>
      <c r="F9" s="186" t="s">
        <v>3</v>
      </c>
      <c r="G9" s="187"/>
      <c r="H9" s="186" t="s">
        <v>4</v>
      </c>
      <c r="I9" s="186" t="s">
        <v>10</v>
      </c>
      <c r="J9" s="186" t="s">
        <v>11</v>
      </c>
      <c r="K9" s="186" t="s">
        <v>183</v>
      </c>
      <c r="L9" s="185">
        <f>INP!L80</f>
        <v>31</v>
      </c>
      <c r="M9" s="185">
        <f>INP!M80</f>
        <v>28</v>
      </c>
      <c r="N9" s="185">
        <f>INP!N80</f>
        <v>31</v>
      </c>
      <c r="O9" s="185">
        <f>INP!O80</f>
        <v>30</v>
      </c>
      <c r="P9" s="185">
        <f>INP!P80</f>
        <v>31</v>
      </c>
      <c r="Q9" s="185">
        <f>INP!Q80</f>
        <v>30</v>
      </c>
      <c r="R9" s="185">
        <f>INP!R80</f>
        <v>31</v>
      </c>
      <c r="S9" s="185">
        <f>INP!S80</f>
        <v>31</v>
      </c>
      <c r="T9" s="185">
        <f>INP!T80</f>
        <v>30</v>
      </c>
      <c r="U9" s="185">
        <f>INP!U80</f>
        <v>31</v>
      </c>
      <c r="V9" s="185">
        <f>INP!V80</f>
        <v>30</v>
      </c>
      <c r="W9" s="185">
        <f>INP!W80</f>
        <v>31</v>
      </c>
    </row>
    <row r="10" spans="1:23" s="177" customFormat="1" ht="3" customHeight="1" thickBot="1" x14ac:dyDescent="0.6">
      <c r="A10" s="188"/>
      <c r="B10" s="189"/>
      <c r="C10" s="190"/>
      <c r="D10" s="190"/>
      <c r="E10" s="190"/>
      <c r="F10" s="191"/>
      <c r="G10" s="190"/>
      <c r="H10" s="190"/>
      <c r="I10" s="190"/>
      <c r="J10" s="190"/>
      <c r="K10" s="190"/>
      <c r="L10" s="190"/>
      <c r="M10" s="190"/>
      <c r="N10" s="190"/>
      <c r="O10" s="190"/>
      <c r="P10" s="190"/>
      <c r="Q10" s="190"/>
      <c r="R10" s="190"/>
      <c r="S10" s="190"/>
      <c r="T10" s="190"/>
      <c r="U10" s="190"/>
      <c r="V10" s="190"/>
      <c r="W10" s="190"/>
    </row>
    <row r="11" spans="1:23" s="7" customFormat="1" ht="3" customHeight="1" x14ac:dyDescent="0.55000000000000004">
      <c r="A11" s="6"/>
      <c r="F11" s="8"/>
    </row>
    <row r="12" spans="1:23" s="7" customFormat="1" ht="3" customHeight="1" x14ac:dyDescent="0.55000000000000004">
      <c r="A12" s="6"/>
      <c r="F12" s="8"/>
    </row>
    <row r="13" spans="1:23" s="7" customFormat="1" ht="14.4" x14ac:dyDescent="0.55000000000000004">
      <c r="A13" s="163" t="s">
        <v>0</v>
      </c>
      <c r="B13" s="198" t="s">
        <v>203</v>
      </c>
      <c r="C13" s="202"/>
      <c r="D13" s="202"/>
      <c r="E13" s="202"/>
      <c r="F13" s="203"/>
      <c r="G13" s="202"/>
      <c r="H13" s="202"/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</row>
    <row r="14" spans="1:23" s="7" customFormat="1" ht="14.4" x14ac:dyDescent="0.55000000000000004">
      <c r="A14" s="167"/>
      <c r="B14" s="168"/>
      <c r="F14" s="8"/>
    </row>
    <row r="15" spans="1:23" s="7" customFormat="1" x14ac:dyDescent="0.55000000000000004">
      <c r="A15" s="6"/>
      <c r="B15" s="7" t="s">
        <v>45</v>
      </c>
      <c r="F15" s="8" t="s">
        <v>31</v>
      </c>
      <c r="L15" s="51">
        <f>ARR_M!L37</f>
        <v>498.80999999999995</v>
      </c>
      <c r="M15" s="51">
        <f>ARR_M!M37</f>
        <v>596.62551699999995</v>
      </c>
      <c r="N15" s="51">
        <f>ARR_M!N37</f>
        <v>700.40132285790003</v>
      </c>
      <c r="O15" s="51">
        <f>ARR_M!O37</f>
        <v>810.71897443128614</v>
      </c>
      <c r="P15" s="51">
        <f>ARR_M!P37</f>
        <v>928.20382124640173</v>
      </c>
      <c r="Q15" s="51">
        <f>ARR_M!Q37</f>
        <v>1053.5285546329296</v>
      </c>
      <c r="R15" s="51">
        <f>ARR_M!R37</f>
        <v>1187.4170234901155</v>
      </c>
      <c r="S15" s="51">
        <f>ARR_M!S37</f>
        <v>1330.6483370314786</v>
      </c>
      <c r="T15" s="51">
        <f>ARR_M!T37</f>
        <v>1484.0612763565628</v>
      </c>
      <c r="U15" s="51">
        <f>ARR_M!U37</f>
        <v>1648.5590383103586</v>
      </c>
      <c r="V15" s="51">
        <f>ARR_M!V37</f>
        <v>1825.1143368222313</v>
      </c>
      <c r="W15" s="51">
        <f>ARR_M!W37</f>
        <v>2014.7748887750483</v>
      </c>
    </row>
    <row r="16" spans="1:23" s="54" customFormat="1" x14ac:dyDescent="0.55000000000000004">
      <c r="A16" s="52"/>
      <c r="B16" s="53" t="s">
        <v>156</v>
      </c>
      <c r="F16" s="8" t="s">
        <v>16</v>
      </c>
      <c r="L16" s="55"/>
      <c r="M16" s="56">
        <f>M15/L15-1</f>
        <v>0.19609774663699597</v>
      </c>
      <c r="N16" s="56">
        <f t="shared" ref="N16:W16" si="0">N15/M15-1</f>
        <v>0.17393792739491576</v>
      </c>
      <c r="O16" s="56">
        <f t="shared" si="0"/>
        <v>0.15750634382477857</v>
      </c>
      <c r="P16" s="56">
        <f t="shared" si="0"/>
        <v>0.14491439144807283</v>
      </c>
      <c r="Q16" s="56">
        <f t="shared" si="0"/>
        <v>0.13501854928612622</v>
      </c>
      <c r="R16" s="56">
        <f t="shared" si="0"/>
        <v>0.12708575222608487</v>
      </c>
      <c r="S16" s="56">
        <f t="shared" si="0"/>
        <v>0.12062427159783384</v>
      </c>
      <c r="T16" s="56">
        <f t="shared" si="0"/>
        <v>0.11529187318366207</v>
      </c>
      <c r="U16" s="56">
        <f t="shared" si="0"/>
        <v>0.11084297163095935</v>
      </c>
      <c r="V16" s="56">
        <f t="shared" si="0"/>
        <v>0.10709673988553536</v>
      </c>
      <c r="W16" s="56">
        <f t="shared" si="0"/>
        <v>0.10391707967350783</v>
      </c>
    </row>
    <row r="17" spans="1:23" s="7" customFormat="1" x14ac:dyDescent="0.55000000000000004">
      <c r="A17" s="6"/>
      <c r="B17" s="7" t="s">
        <v>47</v>
      </c>
      <c r="F17" s="8" t="s">
        <v>31</v>
      </c>
      <c r="L17" s="11">
        <f>-L64</f>
        <v>-89.785799999999981</v>
      </c>
      <c r="M17" s="11">
        <f t="shared" ref="M17:W17" si="1">-M64</f>
        <v>-107.39259305999998</v>
      </c>
      <c r="N17" s="11">
        <f t="shared" si="1"/>
        <v>-126.07223811442201</v>
      </c>
      <c r="O17" s="11">
        <f t="shared" si="1"/>
        <v>-145.92941539763149</v>
      </c>
      <c r="P17" s="11">
        <f t="shared" si="1"/>
        <v>-167.07668782435232</v>
      </c>
      <c r="Q17" s="11">
        <f t="shared" si="1"/>
        <v>-189.63513983392733</v>
      </c>
      <c r="R17" s="11">
        <f t="shared" si="1"/>
        <v>-213.73506422822078</v>
      </c>
      <c r="S17" s="11">
        <f t="shared" si="1"/>
        <v>-239.51670066566615</v>
      </c>
      <c r="T17" s="11">
        <f t="shared" si="1"/>
        <v>-267.13102974418126</v>
      </c>
      <c r="U17" s="11">
        <f t="shared" si="1"/>
        <v>-296.74062689586452</v>
      </c>
      <c r="V17" s="11">
        <f t="shared" si="1"/>
        <v>-328.5205806280016</v>
      </c>
      <c r="W17" s="11">
        <f t="shared" si="1"/>
        <v>-362.65947997950866</v>
      </c>
    </row>
    <row r="18" spans="1:23" s="7" customFormat="1" x14ac:dyDescent="0.55000000000000004">
      <c r="A18" s="6"/>
      <c r="B18" s="43" t="s">
        <v>48</v>
      </c>
      <c r="C18" s="43"/>
      <c r="D18" s="43"/>
      <c r="E18" s="43"/>
      <c r="F18" s="57" t="s">
        <v>31</v>
      </c>
      <c r="G18" s="43"/>
      <c r="H18" s="43"/>
      <c r="I18" s="43"/>
      <c r="J18" s="43"/>
      <c r="K18" s="43"/>
      <c r="L18" s="58">
        <f>SUM(L15,L17)</f>
        <v>409.02419999999995</v>
      </c>
      <c r="M18" s="58">
        <f t="shared" ref="M18:W18" si="2">SUM(M15,M17)</f>
        <v>489.23292393999998</v>
      </c>
      <c r="N18" s="58">
        <f t="shared" si="2"/>
        <v>574.32908474347801</v>
      </c>
      <c r="O18" s="58">
        <f t="shared" si="2"/>
        <v>664.78955903365465</v>
      </c>
      <c r="P18" s="58">
        <f t="shared" si="2"/>
        <v>761.12713342204938</v>
      </c>
      <c r="Q18" s="58">
        <f t="shared" si="2"/>
        <v>863.89341479900236</v>
      </c>
      <c r="R18" s="58">
        <f t="shared" si="2"/>
        <v>973.68195926189469</v>
      </c>
      <c r="S18" s="58">
        <f t="shared" si="2"/>
        <v>1091.1316363658125</v>
      </c>
      <c r="T18" s="58">
        <f t="shared" si="2"/>
        <v>1216.9302466123816</v>
      </c>
      <c r="U18" s="58">
        <f t="shared" si="2"/>
        <v>1351.818411414494</v>
      </c>
      <c r="V18" s="58">
        <f t="shared" si="2"/>
        <v>1496.5937561942296</v>
      </c>
      <c r="W18" s="58">
        <f t="shared" si="2"/>
        <v>1652.1154087955397</v>
      </c>
    </row>
    <row r="19" spans="1:23" s="54" customFormat="1" ht="14.4" x14ac:dyDescent="0.55000000000000004">
      <c r="A19" s="171"/>
      <c r="B19" s="172" t="s">
        <v>158</v>
      </c>
      <c r="F19" s="8" t="s">
        <v>16</v>
      </c>
      <c r="L19" s="56">
        <f>L18/L15</f>
        <v>0.82</v>
      </c>
      <c r="M19" s="56">
        <f t="shared" ref="M19:W19" si="3">M18/M15</f>
        <v>0.82000000000000006</v>
      </c>
      <c r="N19" s="56">
        <f t="shared" si="3"/>
        <v>0.82</v>
      </c>
      <c r="O19" s="56">
        <f t="shared" si="3"/>
        <v>0.82000000000000006</v>
      </c>
      <c r="P19" s="56">
        <f t="shared" si="3"/>
        <v>0.82</v>
      </c>
      <c r="Q19" s="56">
        <f t="shared" si="3"/>
        <v>0.82000000000000006</v>
      </c>
      <c r="R19" s="56">
        <f t="shared" si="3"/>
        <v>0.82</v>
      </c>
      <c r="S19" s="56">
        <f t="shared" si="3"/>
        <v>0.82000000000000006</v>
      </c>
      <c r="T19" s="56">
        <f t="shared" si="3"/>
        <v>0.82000000000000006</v>
      </c>
      <c r="U19" s="56">
        <f t="shared" si="3"/>
        <v>0.82</v>
      </c>
      <c r="V19" s="56">
        <f t="shared" si="3"/>
        <v>0.82</v>
      </c>
      <c r="W19" s="56">
        <f t="shared" si="3"/>
        <v>0.82000000000000006</v>
      </c>
    </row>
    <row r="20" spans="1:23" s="7" customFormat="1" x14ac:dyDescent="0.55000000000000004">
      <c r="A20" s="6"/>
      <c r="B20" s="7" t="s">
        <v>55</v>
      </c>
      <c r="F20" s="8" t="s">
        <v>31</v>
      </c>
      <c r="L20" s="11">
        <f>-L65</f>
        <v>-448.92899999999997</v>
      </c>
      <c r="M20" s="11">
        <f t="shared" ref="M20:W20" si="4">-M65</f>
        <v>-536.96296529999995</v>
      </c>
      <c r="N20" s="11">
        <f t="shared" si="4"/>
        <v>-630.36119057210999</v>
      </c>
      <c r="O20" s="11">
        <f t="shared" si="4"/>
        <v>-729.64707698815755</v>
      </c>
      <c r="P20" s="11">
        <f t="shared" si="4"/>
        <v>-835.38343912176163</v>
      </c>
      <c r="Q20" s="11">
        <f t="shared" si="4"/>
        <v>-948.17569916963669</v>
      </c>
      <c r="R20" s="11">
        <f t="shared" si="4"/>
        <v>-1068.675321141104</v>
      </c>
      <c r="S20" s="11">
        <f t="shared" si="4"/>
        <v>-1197.5835033283308</v>
      </c>
      <c r="T20" s="11">
        <f t="shared" si="4"/>
        <v>-1335.6551487209065</v>
      </c>
      <c r="U20" s="11">
        <f t="shared" si="4"/>
        <v>-1483.7031344793227</v>
      </c>
      <c r="V20" s="11">
        <f t="shared" si="4"/>
        <v>-1642.6029031400083</v>
      </c>
      <c r="W20" s="11">
        <f t="shared" si="4"/>
        <v>-1813.2973998975435</v>
      </c>
    </row>
    <row r="21" spans="1:23" s="7" customFormat="1" x14ac:dyDescent="0.55000000000000004">
      <c r="A21" s="6"/>
      <c r="B21" s="7" t="s">
        <v>56</v>
      </c>
      <c r="F21" s="8" t="s">
        <v>31</v>
      </c>
      <c r="L21" s="11">
        <f t="shared" ref="L21:W21" si="5">-L66</f>
        <v>-199.524</v>
      </c>
      <c r="M21" s="11">
        <f t="shared" si="5"/>
        <v>-238.65020679999998</v>
      </c>
      <c r="N21" s="11">
        <f t="shared" si="5"/>
        <v>-280.16052914316003</v>
      </c>
      <c r="O21" s="11">
        <f t="shared" si="5"/>
        <v>-324.28758977251448</v>
      </c>
      <c r="P21" s="11">
        <f t="shared" si="5"/>
        <v>-371.2815284985607</v>
      </c>
      <c r="Q21" s="11">
        <f t="shared" si="5"/>
        <v>-421.41142185317187</v>
      </c>
      <c r="R21" s="11">
        <f t="shared" si="5"/>
        <v>-474.96680939604624</v>
      </c>
      <c r="S21" s="11">
        <f t="shared" si="5"/>
        <v>-532.25933481259142</v>
      </c>
      <c r="T21" s="11">
        <f t="shared" si="5"/>
        <v>-593.6245105426251</v>
      </c>
      <c r="U21" s="11">
        <f t="shared" si="5"/>
        <v>-659.4236153241435</v>
      </c>
      <c r="V21" s="11">
        <f t="shared" si="5"/>
        <v>-730.04573472889251</v>
      </c>
      <c r="W21" s="11">
        <f t="shared" si="5"/>
        <v>-805.90995551001936</v>
      </c>
    </row>
    <row r="22" spans="1:23" s="7" customFormat="1" x14ac:dyDescent="0.55000000000000004">
      <c r="A22" s="6"/>
      <c r="B22" s="7" t="s">
        <v>57</v>
      </c>
      <c r="F22" s="8" t="s">
        <v>31</v>
      </c>
      <c r="L22" s="11">
        <f t="shared" ref="L22:W22" si="6">-L67</f>
        <v>-49.881</v>
      </c>
      <c r="M22" s="11">
        <f t="shared" si="6"/>
        <v>-59.662551699999995</v>
      </c>
      <c r="N22" s="11">
        <f t="shared" si="6"/>
        <v>-70.040132285790008</v>
      </c>
      <c r="O22" s="11">
        <f t="shared" si="6"/>
        <v>-81.07189744312862</v>
      </c>
      <c r="P22" s="11">
        <f t="shared" si="6"/>
        <v>-92.820382124640176</v>
      </c>
      <c r="Q22" s="11">
        <f t="shared" si="6"/>
        <v>-105.35285546329297</v>
      </c>
      <c r="R22" s="11">
        <f t="shared" si="6"/>
        <v>-118.74170234901156</v>
      </c>
      <c r="S22" s="11">
        <f t="shared" si="6"/>
        <v>-133.06483370314785</v>
      </c>
      <c r="T22" s="11">
        <f t="shared" si="6"/>
        <v>-148.40612763565628</v>
      </c>
      <c r="U22" s="11">
        <f t="shared" si="6"/>
        <v>-164.85590383103587</v>
      </c>
      <c r="V22" s="11">
        <f t="shared" si="6"/>
        <v>-182.51143368222313</v>
      </c>
      <c r="W22" s="11">
        <f t="shared" si="6"/>
        <v>-201.47748887750484</v>
      </c>
    </row>
    <row r="23" spans="1:23" s="7" customFormat="1" x14ac:dyDescent="0.55000000000000004">
      <c r="A23" s="6"/>
      <c r="B23" s="43" t="s">
        <v>49</v>
      </c>
      <c r="C23" s="43"/>
      <c r="D23" s="43"/>
      <c r="E23" s="43"/>
      <c r="F23" s="57" t="s">
        <v>31</v>
      </c>
      <c r="G23" s="43"/>
      <c r="H23" s="43"/>
      <c r="I23" s="43"/>
      <c r="J23" s="43"/>
      <c r="K23" s="43"/>
      <c r="L23" s="58">
        <f>SUM(L20:L22,L18)</f>
        <v>-289.3098</v>
      </c>
      <c r="M23" s="58">
        <f t="shared" ref="M23:W23" si="7">SUM(M20:M22,M18)</f>
        <v>-346.04279985999995</v>
      </c>
      <c r="N23" s="58">
        <f t="shared" si="7"/>
        <v>-406.23276725758205</v>
      </c>
      <c r="O23" s="58">
        <f t="shared" si="7"/>
        <v>-470.21700517014585</v>
      </c>
      <c r="P23" s="58">
        <f t="shared" si="7"/>
        <v>-538.35821632291322</v>
      </c>
      <c r="Q23" s="58">
        <f t="shared" si="7"/>
        <v>-611.04656168709926</v>
      </c>
      <c r="R23" s="58">
        <f t="shared" si="7"/>
        <v>-688.70187362426714</v>
      </c>
      <c r="S23" s="58">
        <f t="shared" si="7"/>
        <v>-771.77603547825743</v>
      </c>
      <c r="T23" s="58">
        <f t="shared" si="7"/>
        <v>-860.75554028680631</v>
      </c>
      <c r="U23" s="58">
        <f t="shared" si="7"/>
        <v>-956.16424222000819</v>
      </c>
      <c r="V23" s="58">
        <f t="shared" si="7"/>
        <v>-1058.5663153568939</v>
      </c>
      <c r="W23" s="58">
        <f t="shared" si="7"/>
        <v>-1168.5694354895281</v>
      </c>
    </row>
    <row r="24" spans="1:23" s="54" customFormat="1" x14ac:dyDescent="0.55000000000000004">
      <c r="A24" s="52"/>
      <c r="B24" s="53" t="s">
        <v>157</v>
      </c>
      <c r="F24" s="8" t="s">
        <v>16</v>
      </c>
      <c r="L24" s="56">
        <f>L23/L15</f>
        <v>-0.58000000000000007</v>
      </c>
      <c r="M24" s="56">
        <f t="shared" ref="M24:W24" si="8">M23/M15</f>
        <v>-0.57999999999999996</v>
      </c>
      <c r="N24" s="56">
        <f t="shared" si="8"/>
        <v>-0.58000000000000007</v>
      </c>
      <c r="O24" s="56">
        <f t="shared" si="8"/>
        <v>-0.57999999999999985</v>
      </c>
      <c r="P24" s="56">
        <f t="shared" si="8"/>
        <v>-0.58000000000000018</v>
      </c>
      <c r="Q24" s="56">
        <f t="shared" si="8"/>
        <v>-0.58000000000000007</v>
      </c>
      <c r="R24" s="56">
        <f t="shared" si="8"/>
        <v>-0.58000000000000007</v>
      </c>
      <c r="S24" s="56">
        <f t="shared" si="8"/>
        <v>-0.57999999999999985</v>
      </c>
      <c r="T24" s="56">
        <f t="shared" si="8"/>
        <v>-0.57999999999999996</v>
      </c>
      <c r="U24" s="56">
        <f t="shared" si="8"/>
        <v>-0.58000000000000018</v>
      </c>
      <c r="V24" s="56">
        <f t="shared" si="8"/>
        <v>-0.57999999999999985</v>
      </c>
      <c r="W24" s="56">
        <f t="shared" si="8"/>
        <v>-0.58000000000000007</v>
      </c>
    </row>
    <row r="25" spans="1:23" s="7" customFormat="1" x14ac:dyDescent="0.55000000000000004">
      <c r="A25" s="6"/>
      <c r="B25" s="7" t="s">
        <v>58</v>
      </c>
      <c r="F25" s="8" t="s">
        <v>31</v>
      </c>
      <c r="L25" s="11">
        <f>L79</f>
        <v>-1.6660055555555555</v>
      </c>
      <c r="M25" s="11">
        <f t="shared" ref="M25:W25" si="9">M79</f>
        <v>-1.9974641761111109</v>
      </c>
      <c r="N25" s="11">
        <f t="shared" si="9"/>
        <v>-2.3865760221432777</v>
      </c>
      <c r="O25" s="11">
        <f t="shared" si="9"/>
        <v>-2.8369754523828807</v>
      </c>
      <c r="P25" s="11">
        <f t="shared" si="9"/>
        <v>-3.3526442419642151</v>
      </c>
      <c r="Q25" s="11">
        <f t="shared" si="9"/>
        <v>-3.9379378834269536</v>
      </c>
      <c r="R25" s="11">
        <f t="shared" si="9"/>
        <v>-4.5976140075881284</v>
      </c>
      <c r="S25" s="11">
        <f t="shared" si="9"/>
        <v>-5.3368630837167279</v>
      </c>
      <c r="T25" s="11">
        <f t="shared" si="9"/>
        <v>-6.1613415705814853</v>
      </c>
      <c r="U25" s="11">
        <f t="shared" si="9"/>
        <v>-7.0772077029761284</v>
      </c>
      <c r="V25" s="11">
        <f t="shared" si="9"/>
        <v>-8.0911601123218126</v>
      </c>
      <c r="W25" s="11">
        <f t="shared" si="9"/>
        <v>-9.2104794949746172</v>
      </c>
    </row>
    <row r="26" spans="1:23" s="3" customFormat="1" x14ac:dyDescent="0.55000000000000004">
      <c r="A26" s="4"/>
      <c r="B26" s="43" t="s">
        <v>59</v>
      </c>
      <c r="C26" s="43"/>
      <c r="D26" s="43"/>
      <c r="E26" s="43"/>
      <c r="F26" s="57" t="s">
        <v>31</v>
      </c>
      <c r="G26" s="43"/>
      <c r="H26" s="43"/>
      <c r="I26" s="43"/>
      <c r="J26" s="43"/>
      <c r="K26" s="43"/>
      <c r="L26" s="58">
        <f>SUM(L23,L25)</f>
        <v>-290.97580555555555</v>
      </c>
      <c r="M26" s="58">
        <f t="shared" ref="M26:W26" si="10">SUM(M23,M25)</f>
        <v>-348.04026403611107</v>
      </c>
      <c r="N26" s="58">
        <f t="shared" si="10"/>
        <v>-408.61934327972534</v>
      </c>
      <c r="O26" s="58">
        <f t="shared" si="10"/>
        <v>-473.05398062252874</v>
      </c>
      <c r="P26" s="58">
        <f t="shared" si="10"/>
        <v>-541.71086056487741</v>
      </c>
      <c r="Q26" s="58">
        <f t="shared" si="10"/>
        <v>-614.98449957052617</v>
      </c>
      <c r="R26" s="58">
        <f t="shared" si="10"/>
        <v>-693.2994876318553</v>
      </c>
      <c r="S26" s="58">
        <f t="shared" si="10"/>
        <v>-777.11289856197413</v>
      </c>
      <c r="T26" s="58">
        <f t="shared" si="10"/>
        <v>-866.91688185738781</v>
      </c>
      <c r="U26" s="58">
        <f t="shared" si="10"/>
        <v>-963.24144992298432</v>
      </c>
      <c r="V26" s="58">
        <f t="shared" si="10"/>
        <v>-1066.6574754692158</v>
      </c>
      <c r="W26" s="58">
        <f t="shared" si="10"/>
        <v>-1177.7799149845027</v>
      </c>
    </row>
    <row r="27" spans="1:23" s="7" customFormat="1" x14ac:dyDescent="0.55000000000000004">
      <c r="A27" s="6"/>
      <c r="B27" s="7" t="s">
        <v>60</v>
      </c>
      <c r="F27" s="8" t="s">
        <v>31</v>
      </c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</row>
    <row r="28" spans="1:23" s="3" customFormat="1" x14ac:dyDescent="0.55000000000000004">
      <c r="A28" s="4"/>
      <c r="B28" s="43" t="s">
        <v>61</v>
      </c>
      <c r="C28" s="43"/>
      <c r="D28" s="43"/>
      <c r="E28" s="43"/>
      <c r="F28" s="57" t="s">
        <v>31</v>
      </c>
      <c r="G28" s="43"/>
      <c r="H28" s="43"/>
      <c r="I28" s="43"/>
      <c r="J28" s="43"/>
      <c r="K28" s="43"/>
      <c r="L28" s="58">
        <f>SUM(L26:L27)</f>
        <v>-290.97580555555555</v>
      </c>
      <c r="M28" s="58">
        <f t="shared" ref="M28:W28" si="11">SUM(M26:M27)</f>
        <v>-348.04026403611107</v>
      </c>
      <c r="N28" s="58">
        <f t="shared" si="11"/>
        <v>-408.61934327972534</v>
      </c>
      <c r="O28" s="58">
        <f t="shared" si="11"/>
        <v>-473.05398062252874</v>
      </c>
      <c r="P28" s="58">
        <f t="shared" si="11"/>
        <v>-541.71086056487741</v>
      </c>
      <c r="Q28" s="58">
        <f t="shared" si="11"/>
        <v>-614.98449957052617</v>
      </c>
      <c r="R28" s="58">
        <f t="shared" si="11"/>
        <v>-693.2994876318553</v>
      </c>
      <c r="S28" s="58">
        <f t="shared" si="11"/>
        <v>-777.11289856197413</v>
      </c>
      <c r="T28" s="58">
        <f t="shared" si="11"/>
        <v>-866.91688185738781</v>
      </c>
      <c r="U28" s="58">
        <f t="shared" si="11"/>
        <v>-963.24144992298432</v>
      </c>
      <c r="V28" s="58">
        <f t="shared" si="11"/>
        <v>-1066.6574754692158</v>
      </c>
      <c r="W28" s="58">
        <f t="shared" si="11"/>
        <v>-1177.7799149845027</v>
      </c>
    </row>
    <row r="29" spans="1:23" s="7" customFormat="1" x14ac:dyDescent="0.5">
      <c r="A29" s="6"/>
      <c r="B29" s="7" t="s">
        <v>62</v>
      </c>
      <c r="F29" s="8" t="s">
        <v>31</v>
      </c>
      <c r="H29" s="59">
        <f>INP!$H$35</f>
        <v>0.25</v>
      </c>
      <c r="L29" s="11">
        <f>-MAX(0,L28)*$H29</f>
        <v>0</v>
      </c>
      <c r="M29" s="11">
        <f t="shared" ref="M29:W29" si="12">-MAX(0,M28)*$H29</f>
        <v>0</v>
      </c>
      <c r="N29" s="11">
        <f t="shared" si="12"/>
        <v>0</v>
      </c>
      <c r="O29" s="11">
        <f t="shared" si="12"/>
        <v>0</v>
      </c>
      <c r="P29" s="11">
        <f t="shared" si="12"/>
        <v>0</v>
      </c>
      <c r="Q29" s="11">
        <f t="shared" si="12"/>
        <v>0</v>
      </c>
      <c r="R29" s="11">
        <f t="shared" si="12"/>
        <v>0</v>
      </c>
      <c r="S29" s="11">
        <f t="shared" si="12"/>
        <v>0</v>
      </c>
      <c r="T29" s="11">
        <f t="shared" si="12"/>
        <v>0</v>
      </c>
      <c r="U29" s="11">
        <f t="shared" si="12"/>
        <v>0</v>
      </c>
      <c r="V29" s="11">
        <f t="shared" si="12"/>
        <v>0</v>
      </c>
      <c r="W29" s="11">
        <f t="shared" si="12"/>
        <v>0</v>
      </c>
    </row>
    <row r="30" spans="1:23" s="3" customFormat="1" x14ac:dyDescent="0.55000000000000004">
      <c r="A30" s="4"/>
      <c r="B30" s="43" t="s">
        <v>63</v>
      </c>
      <c r="C30" s="43"/>
      <c r="D30" s="43"/>
      <c r="E30" s="43"/>
      <c r="F30" s="57" t="s">
        <v>31</v>
      </c>
      <c r="G30" s="43"/>
      <c r="H30" s="43"/>
      <c r="I30" s="43"/>
      <c r="J30" s="43"/>
      <c r="K30" s="43"/>
      <c r="L30" s="58">
        <f>SUM(L28:L29)</f>
        <v>-290.97580555555555</v>
      </c>
      <c r="M30" s="58">
        <f t="shared" ref="M30:W30" si="13">SUM(M28:M29)</f>
        <v>-348.04026403611107</v>
      </c>
      <c r="N30" s="58">
        <f t="shared" si="13"/>
        <v>-408.61934327972534</v>
      </c>
      <c r="O30" s="58">
        <f t="shared" si="13"/>
        <v>-473.05398062252874</v>
      </c>
      <c r="P30" s="58">
        <f t="shared" si="13"/>
        <v>-541.71086056487741</v>
      </c>
      <c r="Q30" s="58">
        <f t="shared" si="13"/>
        <v>-614.98449957052617</v>
      </c>
      <c r="R30" s="58">
        <f t="shared" si="13"/>
        <v>-693.2994876318553</v>
      </c>
      <c r="S30" s="58">
        <f t="shared" si="13"/>
        <v>-777.11289856197413</v>
      </c>
      <c r="T30" s="58">
        <f t="shared" si="13"/>
        <v>-866.91688185738781</v>
      </c>
      <c r="U30" s="58">
        <f t="shared" si="13"/>
        <v>-963.24144992298432</v>
      </c>
      <c r="V30" s="58">
        <f t="shared" si="13"/>
        <v>-1066.6574754692158</v>
      </c>
      <c r="W30" s="58">
        <f t="shared" si="13"/>
        <v>-1177.7799149845027</v>
      </c>
    </row>
    <row r="31" spans="1:23" s="7" customFormat="1" x14ac:dyDescent="0.55000000000000004">
      <c r="A31" s="6"/>
      <c r="F31" s="8"/>
    </row>
    <row r="32" spans="1:23" s="7" customFormat="1" ht="14.4" x14ac:dyDescent="0.55000000000000004">
      <c r="A32" s="163" t="s">
        <v>0</v>
      </c>
      <c r="B32" s="198" t="s">
        <v>204</v>
      </c>
      <c r="C32" s="202"/>
      <c r="D32" s="202"/>
      <c r="E32" s="202"/>
      <c r="F32" s="203"/>
      <c r="G32" s="202"/>
      <c r="H32" s="202"/>
      <c r="I32" s="202"/>
      <c r="J32" s="202"/>
      <c r="K32" s="202"/>
      <c r="L32" s="202"/>
      <c r="M32" s="202"/>
      <c r="N32" s="202"/>
      <c r="O32" s="202"/>
      <c r="P32" s="202"/>
      <c r="Q32" s="202"/>
      <c r="R32" s="202"/>
      <c r="S32" s="202"/>
      <c r="T32" s="202"/>
      <c r="U32" s="202"/>
      <c r="V32" s="202"/>
      <c r="W32" s="202"/>
    </row>
    <row r="33" spans="1:23" s="7" customFormat="1" x14ac:dyDescent="0.55000000000000004">
      <c r="A33" s="6"/>
      <c r="F33" s="8"/>
    </row>
    <row r="34" spans="1:23" s="7" customFormat="1" x14ac:dyDescent="0.55000000000000004">
      <c r="A34" s="6"/>
      <c r="B34" s="3" t="s">
        <v>49</v>
      </c>
      <c r="F34" s="8" t="s">
        <v>31</v>
      </c>
      <c r="L34" s="11">
        <f>L23</f>
        <v>-289.3098</v>
      </c>
      <c r="M34" s="11">
        <f t="shared" ref="M34:W34" si="14">M23</f>
        <v>-346.04279985999995</v>
      </c>
      <c r="N34" s="11">
        <f t="shared" si="14"/>
        <v>-406.23276725758205</v>
      </c>
      <c r="O34" s="11">
        <f t="shared" si="14"/>
        <v>-470.21700517014585</v>
      </c>
      <c r="P34" s="11">
        <f t="shared" si="14"/>
        <v>-538.35821632291322</v>
      </c>
      <c r="Q34" s="11">
        <f t="shared" si="14"/>
        <v>-611.04656168709926</v>
      </c>
      <c r="R34" s="11">
        <f t="shared" si="14"/>
        <v>-688.70187362426714</v>
      </c>
      <c r="S34" s="11">
        <f t="shared" si="14"/>
        <v>-771.77603547825743</v>
      </c>
      <c r="T34" s="11">
        <f t="shared" si="14"/>
        <v>-860.75554028680631</v>
      </c>
      <c r="U34" s="11">
        <f t="shared" si="14"/>
        <v>-956.16424222000819</v>
      </c>
      <c r="V34" s="11">
        <f t="shared" si="14"/>
        <v>-1058.5663153568939</v>
      </c>
      <c r="W34" s="11">
        <f t="shared" si="14"/>
        <v>-1168.5694354895281</v>
      </c>
    </row>
    <row r="35" spans="1:23" s="7" customFormat="1" x14ac:dyDescent="0.55000000000000004">
      <c r="A35" s="6"/>
      <c r="B35" s="7" t="s">
        <v>71</v>
      </c>
      <c r="F35" s="8" t="s">
        <v>31</v>
      </c>
      <c r="L35" s="11">
        <f>-L77</f>
        <v>-9.9761999999999986</v>
      </c>
      <c r="M35" s="11">
        <f t="shared" ref="M35:W35" si="15">-M77</f>
        <v>-11.932510339999999</v>
      </c>
      <c r="N35" s="11">
        <f t="shared" si="15"/>
        <v>-14.008026457158001</v>
      </c>
      <c r="O35" s="11">
        <f t="shared" si="15"/>
        <v>-16.214379488625724</v>
      </c>
      <c r="P35" s="11">
        <f t="shared" si="15"/>
        <v>-18.564076424928036</v>
      </c>
      <c r="Q35" s="11">
        <f t="shared" si="15"/>
        <v>-21.070571092658593</v>
      </c>
      <c r="R35" s="11">
        <f t="shared" si="15"/>
        <v>-23.748340469802312</v>
      </c>
      <c r="S35" s="11">
        <f t="shared" si="15"/>
        <v>-26.612966740629574</v>
      </c>
      <c r="T35" s="11">
        <f t="shared" si="15"/>
        <v>-29.681225527131257</v>
      </c>
      <c r="U35" s="11">
        <f t="shared" si="15"/>
        <v>-32.971180766207169</v>
      </c>
      <c r="V35" s="11">
        <f t="shared" si="15"/>
        <v>-36.502286736444624</v>
      </c>
      <c r="W35" s="11">
        <f t="shared" si="15"/>
        <v>-40.295497775500969</v>
      </c>
    </row>
    <row r="36" spans="1:23" s="7" customFormat="1" x14ac:dyDescent="0.55000000000000004">
      <c r="A36" s="6"/>
      <c r="B36" s="7" t="s">
        <v>81</v>
      </c>
      <c r="F36" s="8" t="s">
        <v>31</v>
      </c>
      <c r="L36" s="11">
        <f>-L88</f>
        <v>-10.332739726027389</v>
      </c>
      <c r="M36" s="11">
        <f t="shared" ref="M36:W36" si="16">-M88</f>
        <v>-12.059447301369863</v>
      </c>
      <c r="N36" s="11">
        <f t="shared" si="16"/>
        <v>-12.794277434535626</v>
      </c>
      <c r="O36" s="11">
        <f t="shared" si="16"/>
        <v>-13.600806358362671</v>
      </c>
      <c r="P36" s="11">
        <f t="shared" si="16"/>
        <v>-14.484433168986852</v>
      </c>
      <c r="Q36" s="11">
        <f t="shared" si="16"/>
        <v>-15.450994527106179</v>
      </c>
      <c r="R36" s="11">
        <f t="shared" si="16"/>
        <v>-16.506797530337987</v>
      </c>
      <c r="S36" s="11">
        <f t="shared" si="16"/>
        <v>-17.658655094140652</v>
      </c>
      <c r="T36" s="11">
        <f t="shared" si="16"/>
        <v>-18.913924026380236</v>
      </c>
      <c r="U36" s="11">
        <f t="shared" si="16"/>
        <v>-20.280545994303594</v>
      </c>
      <c r="V36" s="11">
        <f t="shared" si="16"/>
        <v>-21.767091597354167</v>
      </c>
      <c r="W36" s="11">
        <f t="shared" si="16"/>
        <v>-23.382807775004842</v>
      </c>
    </row>
    <row r="37" spans="1:23" s="7" customFormat="1" x14ac:dyDescent="0.55000000000000004">
      <c r="A37" s="6"/>
      <c r="B37" s="7" t="s">
        <v>82</v>
      </c>
      <c r="F37" s="8" t="s">
        <v>31</v>
      </c>
      <c r="L37" s="11">
        <f>L29</f>
        <v>0</v>
      </c>
      <c r="M37" s="11">
        <f t="shared" ref="M37:W37" si="17">M29</f>
        <v>0</v>
      </c>
      <c r="N37" s="11">
        <f t="shared" si="17"/>
        <v>0</v>
      </c>
      <c r="O37" s="11">
        <f t="shared" si="17"/>
        <v>0</v>
      </c>
      <c r="P37" s="11">
        <f t="shared" si="17"/>
        <v>0</v>
      </c>
      <c r="Q37" s="11">
        <f t="shared" si="17"/>
        <v>0</v>
      </c>
      <c r="R37" s="11">
        <f t="shared" si="17"/>
        <v>0</v>
      </c>
      <c r="S37" s="11">
        <f t="shared" si="17"/>
        <v>0</v>
      </c>
      <c r="T37" s="11">
        <f t="shared" si="17"/>
        <v>0</v>
      </c>
      <c r="U37" s="11">
        <f t="shared" si="17"/>
        <v>0</v>
      </c>
      <c r="V37" s="11">
        <f t="shared" si="17"/>
        <v>0</v>
      </c>
      <c r="W37" s="11">
        <f t="shared" si="17"/>
        <v>0</v>
      </c>
    </row>
    <row r="38" spans="1:23" s="3" customFormat="1" x14ac:dyDescent="0.55000000000000004">
      <c r="A38" s="4"/>
      <c r="B38" s="43" t="s">
        <v>205</v>
      </c>
      <c r="C38" s="43"/>
      <c r="D38" s="43"/>
      <c r="E38" s="43"/>
      <c r="F38" s="57" t="s">
        <v>31</v>
      </c>
      <c r="G38" s="43"/>
      <c r="H38" s="43"/>
      <c r="I38" s="43"/>
      <c r="J38" s="43"/>
      <c r="K38" s="43"/>
      <c r="L38" s="58">
        <f>SUM(L34:L37)</f>
        <v>-309.6187397260274</v>
      </c>
      <c r="M38" s="58">
        <f t="shared" ref="M38:W38" si="18">SUM(M34:M37)</f>
        <v>-370.03475750136982</v>
      </c>
      <c r="N38" s="58">
        <f t="shared" si="18"/>
        <v>-433.03507114927567</v>
      </c>
      <c r="O38" s="58">
        <f t="shared" si="18"/>
        <v>-500.03219101713421</v>
      </c>
      <c r="P38" s="58">
        <f t="shared" si="18"/>
        <v>-571.40672591682812</v>
      </c>
      <c r="Q38" s="58">
        <f t="shared" si="18"/>
        <v>-647.56812730686408</v>
      </c>
      <c r="R38" s="58">
        <f t="shared" si="18"/>
        <v>-728.95701162440741</v>
      </c>
      <c r="S38" s="58">
        <f t="shared" si="18"/>
        <v>-816.04765731302757</v>
      </c>
      <c r="T38" s="58">
        <f t="shared" si="18"/>
        <v>-909.35068984031773</v>
      </c>
      <c r="U38" s="58">
        <f t="shared" si="18"/>
        <v>-1009.415968980519</v>
      </c>
      <c r="V38" s="58">
        <f t="shared" si="18"/>
        <v>-1116.8356936906928</v>
      </c>
      <c r="W38" s="58">
        <f t="shared" si="18"/>
        <v>-1232.247741040034</v>
      </c>
    </row>
    <row r="39" spans="1:23" s="7" customFormat="1" x14ac:dyDescent="0.55000000000000004">
      <c r="A39" s="6"/>
      <c r="F39" s="8"/>
    </row>
    <row r="40" spans="1:23" s="7" customFormat="1" x14ac:dyDescent="0.55000000000000004">
      <c r="A40" s="6"/>
      <c r="B40" s="3" t="s">
        <v>206</v>
      </c>
      <c r="F40" s="8"/>
    </row>
    <row r="41" spans="1:23" s="7" customFormat="1" x14ac:dyDescent="0.55000000000000004">
      <c r="A41" s="6"/>
      <c r="B41" s="7" t="s">
        <v>39</v>
      </c>
      <c r="F41" s="8" t="s">
        <v>31</v>
      </c>
      <c r="L41" s="11">
        <f>K44</f>
        <v>0</v>
      </c>
      <c r="M41" s="11">
        <f t="shared" ref="M41:W41" si="19">L44</f>
        <v>29690.381260273971</v>
      </c>
      <c r="N41" s="11">
        <f t="shared" si="19"/>
        <v>29320.346502772602</v>
      </c>
      <c r="O41" s="11">
        <f t="shared" si="19"/>
        <v>28887.311431623326</v>
      </c>
      <c r="P41" s="11">
        <f t="shared" si="19"/>
        <v>28387.279240606193</v>
      </c>
      <c r="Q41" s="11">
        <f t="shared" si="19"/>
        <v>27815.872514689363</v>
      </c>
      <c r="R41" s="11">
        <f t="shared" si="19"/>
        <v>27168.304387382497</v>
      </c>
      <c r="S41" s="11">
        <f t="shared" si="19"/>
        <v>26439.34737575809</v>
      </c>
      <c r="T41" s="11">
        <f t="shared" si="19"/>
        <v>25623.299718445061</v>
      </c>
      <c r="U41" s="11">
        <f t="shared" si="19"/>
        <v>24713.949028604744</v>
      </c>
      <c r="V41" s="11">
        <f t="shared" si="19"/>
        <v>23704.533059624224</v>
      </c>
      <c r="W41" s="11">
        <f t="shared" si="19"/>
        <v>22587.697365933531</v>
      </c>
    </row>
    <row r="42" spans="1:23" s="7" customFormat="1" x14ac:dyDescent="0.5">
      <c r="A42" s="6"/>
      <c r="B42" s="7" t="s">
        <v>65</v>
      </c>
      <c r="F42" s="8" t="s">
        <v>31</v>
      </c>
      <c r="H42" s="61">
        <f>INP!$H$17</f>
        <v>30000</v>
      </c>
      <c r="L42" s="11">
        <f t="shared" ref="L42:W42" si="20">$H42*L$60</f>
        <v>30000</v>
      </c>
      <c r="M42" s="11">
        <f t="shared" si="20"/>
        <v>0</v>
      </c>
      <c r="N42" s="11">
        <f t="shared" si="20"/>
        <v>0</v>
      </c>
      <c r="O42" s="11">
        <f t="shared" si="20"/>
        <v>0</v>
      </c>
      <c r="P42" s="11">
        <f t="shared" si="20"/>
        <v>0</v>
      </c>
      <c r="Q42" s="11">
        <f t="shared" si="20"/>
        <v>0</v>
      </c>
      <c r="R42" s="11">
        <f t="shared" si="20"/>
        <v>0</v>
      </c>
      <c r="S42" s="11">
        <f t="shared" si="20"/>
        <v>0</v>
      </c>
      <c r="T42" s="11">
        <f t="shared" si="20"/>
        <v>0</v>
      </c>
      <c r="U42" s="11">
        <f t="shared" si="20"/>
        <v>0</v>
      </c>
      <c r="V42" s="11">
        <f t="shared" si="20"/>
        <v>0</v>
      </c>
      <c r="W42" s="11">
        <f t="shared" si="20"/>
        <v>0</v>
      </c>
    </row>
    <row r="43" spans="1:23" s="7" customFormat="1" x14ac:dyDescent="0.55000000000000004">
      <c r="A43" s="6"/>
      <c r="B43" s="7" t="s">
        <v>84</v>
      </c>
      <c r="F43" s="8" t="s">
        <v>31</v>
      </c>
      <c r="L43" s="11">
        <f>L38</f>
        <v>-309.6187397260274</v>
      </c>
      <c r="M43" s="11">
        <f t="shared" ref="M43:W43" si="21">M38</f>
        <v>-370.03475750136982</v>
      </c>
      <c r="N43" s="11">
        <f t="shared" si="21"/>
        <v>-433.03507114927567</v>
      </c>
      <c r="O43" s="11">
        <f t="shared" si="21"/>
        <v>-500.03219101713421</v>
      </c>
      <c r="P43" s="11">
        <f t="shared" si="21"/>
        <v>-571.40672591682812</v>
      </c>
      <c r="Q43" s="11">
        <f t="shared" si="21"/>
        <v>-647.56812730686408</v>
      </c>
      <c r="R43" s="11">
        <f t="shared" si="21"/>
        <v>-728.95701162440741</v>
      </c>
      <c r="S43" s="11">
        <f t="shared" si="21"/>
        <v>-816.04765731302757</v>
      </c>
      <c r="T43" s="11">
        <f t="shared" si="21"/>
        <v>-909.35068984031773</v>
      </c>
      <c r="U43" s="11">
        <f t="shared" si="21"/>
        <v>-1009.415968980519</v>
      </c>
      <c r="V43" s="11">
        <f t="shared" si="21"/>
        <v>-1116.8356936906928</v>
      </c>
      <c r="W43" s="11">
        <f t="shared" si="21"/>
        <v>-1232.247741040034</v>
      </c>
    </row>
    <row r="44" spans="1:23" s="3" customFormat="1" x14ac:dyDescent="0.55000000000000004">
      <c r="A44" s="4"/>
      <c r="B44" s="43" t="s">
        <v>185</v>
      </c>
      <c r="C44" s="43"/>
      <c r="D44" s="43"/>
      <c r="E44" s="43"/>
      <c r="F44" s="57" t="s">
        <v>31</v>
      </c>
      <c r="G44" s="43"/>
      <c r="H44" s="43"/>
      <c r="I44" s="43"/>
      <c r="J44" s="43"/>
      <c r="K44" s="43"/>
      <c r="L44" s="58">
        <f>SUM(L41:L43)</f>
        <v>29690.381260273971</v>
      </c>
      <c r="M44" s="58">
        <f t="shared" ref="M44:W44" si="22">SUM(M41:M43)</f>
        <v>29320.346502772602</v>
      </c>
      <c r="N44" s="58">
        <f t="shared" si="22"/>
        <v>28887.311431623326</v>
      </c>
      <c r="O44" s="58">
        <f t="shared" si="22"/>
        <v>28387.279240606193</v>
      </c>
      <c r="P44" s="58">
        <f t="shared" si="22"/>
        <v>27815.872514689363</v>
      </c>
      <c r="Q44" s="58">
        <f t="shared" si="22"/>
        <v>27168.304387382497</v>
      </c>
      <c r="R44" s="58">
        <f t="shared" si="22"/>
        <v>26439.34737575809</v>
      </c>
      <c r="S44" s="58">
        <f t="shared" si="22"/>
        <v>25623.299718445061</v>
      </c>
      <c r="T44" s="58">
        <f t="shared" si="22"/>
        <v>24713.949028604744</v>
      </c>
      <c r="U44" s="58">
        <f t="shared" si="22"/>
        <v>23704.533059624224</v>
      </c>
      <c r="V44" s="58">
        <f t="shared" si="22"/>
        <v>22587.697365933531</v>
      </c>
      <c r="W44" s="58">
        <f t="shared" si="22"/>
        <v>21355.449624893496</v>
      </c>
    </row>
    <row r="45" spans="1:23" s="7" customFormat="1" x14ac:dyDescent="0.55000000000000004">
      <c r="A45" s="6"/>
      <c r="F45" s="8"/>
    </row>
    <row r="46" spans="1:23" s="7" customFormat="1" ht="14.4" x14ac:dyDescent="0.55000000000000004">
      <c r="A46" s="163" t="s">
        <v>0</v>
      </c>
      <c r="B46" s="198" t="s">
        <v>172</v>
      </c>
      <c r="C46" s="202"/>
      <c r="D46" s="202"/>
      <c r="E46" s="202"/>
      <c r="F46" s="203"/>
      <c r="G46" s="202"/>
      <c r="H46" s="202"/>
      <c r="I46" s="202"/>
      <c r="J46" s="202"/>
      <c r="K46" s="202"/>
      <c r="L46" s="202"/>
      <c r="M46" s="202"/>
      <c r="N46" s="202"/>
      <c r="O46" s="202"/>
      <c r="P46" s="202"/>
      <c r="Q46" s="202"/>
      <c r="R46" s="202"/>
      <c r="S46" s="202"/>
      <c r="T46" s="202"/>
      <c r="U46" s="202"/>
      <c r="V46" s="202"/>
      <c r="W46" s="202"/>
    </row>
    <row r="47" spans="1:23" s="7" customFormat="1" ht="14.4" x14ac:dyDescent="0.55000000000000004">
      <c r="A47" s="167"/>
      <c r="B47" s="168"/>
      <c r="F47" s="8"/>
    </row>
    <row r="48" spans="1:23" s="7" customFormat="1" x14ac:dyDescent="0.55000000000000004">
      <c r="A48" s="6"/>
      <c r="B48" s="7" t="s">
        <v>83</v>
      </c>
      <c r="F48" s="8" t="s">
        <v>31</v>
      </c>
      <c r="L48" s="11">
        <f>L44</f>
        <v>29690.381260273971</v>
      </c>
      <c r="M48" s="11">
        <f t="shared" ref="M48:W48" si="23">M44</f>
        <v>29320.346502772602</v>
      </c>
      <c r="N48" s="11">
        <f t="shared" si="23"/>
        <v>28887.311431623326</v>
      </c>
      <c r="O48" s="11">
        <f t="shared" si="23"/>
        <v>28387.279240606193</v>
      </c>
      <c r="P48" s="11">
        <f t="shared" si="23"/>
        <v>27815.872514689363</v>
      </c>
      <c r="Q48" s="11">
        <f t="shared" si="23"/>
        <v>27168.304387382497</v>
      </c>
      <c r="R48" s="11">
        <f t="shared" si="23"/>
        <v>26439.34737575809</v>
      </c>
      <c r="S48" s="11">
        <f t="shared" si="23"/>
        <v>25623.299718445061</v>
      </c>
      <c r="T48" s="11">
        <f t="shared" si="23"/>
        <v>24713.949028604744</v>
      </c>
      <c r="U48" s="11">
        <f t="shared" si="23"/>
        <v>23704.533059624224</v>
      </c>
      <c r="V48" s="11">
        <f t="shared" si="23"/>
        <v>22587.697365933531</v>
      </c>
      <c r="W48" s="11">
        <f t="shared" si="23"/>
        <v>21355.449624893496</v>
      </c>
    </row>
    <row r="49" spans="1:23" s="7" customFormat="1" x14ac:dyDescent="0.55000000000000004">
      <c r="A49" s="6"/>
      <c r="B49" s="7" t="s">
        <v>85</v>
      </c>
      <c r="F49" s="8" t="s">
        <v>31</v>
      </c>
      <c r="L49" s="11">
        <f>L80</f>
        <v>58.310194444444441</v>
      </c>
      <c r="M49" s="11">
        <f t="shared" ref="M49:W49" si="24">M80</f>
        <v>68.245240608333333</v>
      </c>
      <c r="N49" s="11">
        <f t="shared" si="24"/>
        <v>79.866691043348055</v>
      </c>
      <c r="O49" s="11">
        <f t="shared" si="24"/>
        <v>93.244095079590892</v>
      </c>
      <c r="P49" s="11">
        <f t="shared" si="24"/>
        <v>108.45552726255471</v>
      </c>
      <c r="Q49" s="11">
        <f t="shared" si="24"/>
        <v>125.58816047178634</v>
      </c>
      <c r="R49" s="11">
        <f t="shared" si="24"/>
        <v>144.7388869340005</v>
      </c>
      <c r="S49" s="11">
        <f t="shared" si="24"/>
        <v>166.01499059091336</v>
      </c>
      <c r="T49" s="11">
        <f t="shared" si="24"/>
        <v>189.53487454746312</v>
      </c>
      <c r="U49" s="11">
        <f t="shared" si="24"/>
        <v>215.42884761069416</v>
      </c>
      <c r="V49" s="11">
        <f t="shared" si="24"/>
        <v>243.83997423481699</v>
      </c>
      <c r="W49" s="11">
        <f t="shared" si="24"/>
        <v>274.92499251534338</v>
      </c>
    </row>
    <row r="50" spans="1:23" s="7" customFormat="1" x14ac:dyDescent="0.55000000000000004">
      <c r="A50" s="6"/>
      <c r="B50" s="7" t="s">
        <v>72</v>
      </c>
      <c r="F50" s="8" t="s">
        <v>31</v>
      </c>
      <c r="L50" s="11">
        <f>L92</f>
        <v>61.497123287671222</v>
      </c>
      <c r="M50" s="11">
        <f t="shared" ref="M50:W50" si="25">M92</f>
        <v>73.556570589041087</v>
      </c>
      <c r="N50" s="11">
        <f t="shared" si="25"/>
        <v>86.350848023576717</v>
      </c>
      <c r="O50" s="11">
        <f t="shared" si="25"/>
        <v>99.951654381939377</v>
      </c>
      <c r="P50" s="11">
        <f t="shared" si="25"/>
        <v>114.43608755092623</v>
      </c>
      <c r="Q50" s="11">
        <f t="shared" si="25"/>
        <v>129.88708207803242</v>
      </c>
      <c r="R50" s="11">
        <f t="shared" si="25"/>
        <v>146.39387960837041</v>
      </c>
      <c r="S50" s="11">
        <f t="shared" si="25"/>
        <v>164.05253470251105</v>
      </c>
      <c r="T50" s="11">
        <f t="shared" si="25"/>
        <v>182.9664587288913</v>
      </c>
      <c r="U50" s="11">
        <f t="shared" si="25"/>
        <v>203.24700472319489</v>
      </c>
      <c r="V50" s="11">
        <f t="shared" si="25"/>
        <v>225.01409632054904</v>
      </c>
      <c r="W50" s="11">
        <f t="shared" si="25"/>
        <v>248.39690409555388</v>
      </c>
    </row>
    <row r="51" spans="1:23" s="3" customFormat="1" x14ac:dyDescent="0.55000000000000004">
      <c r="A51" s="4"/>
      <c r="B51" s="43" t="s">
        <v>208</v>
      </c>
      <c r="C51" s="43"/>
      <c r="D51" s="43"/>
      <c r="E51" s="43"/>
      <c r="F51" s="57" t="s">
        <v>31</v>
      </c>
      <c r="G51" s="43"/>
      <c r="H51" s="43"/>
      <c r="I51" s="43"/>
      <c r="J51" s="43"/>
      <c r="K51" s="43"/>
      <c r="L51" s="58">
        <f>SUM(L48:L50)</f>
        <v>29810.188578006087</v>
      </c>
      <c r="M51" s="58">
        <f t="shared" ref="M51:W51" si="26">SUM(M48:M50)</f>
        <v>29462.148313969974</v>
      </c>
      <c r="N51" s="58">
        <f t="shared" si="26"/>
        <v>29053.528970690251</v>
      </c>
      <c r="O51" s="58">
        <f t="shared" si="26"/>
        <v>28580.474990067723</v>
      </c>
      <c r="P51" s="58">
        <f t="shared" si="26"/>
        <v>28038.764129502844</v>
      </c>
      <c r="Q51" s="58">
        <f t="shared" si="26"/>
        <v>27423.779629932316</v>
      </c>
      <c r="R51" s="58">
        <f t="shared" si="26"/>
        <v>26730.480142300461</v>
      </c>
      <c r="S51" s="58">
        <f t="shared" si="26"/>
        <v>25953.367243738485</v>
      </c>
      <c r="T51" s="58">
        <f t="shared" si="26"/>
        <v>25086.450361881096</v>
      </c>
      <c r="U51" s="58">
        <f t="shared" si="26"/>
        <v>24123.208911958114</v>
      </c>
      <c r="V51" s="58">
        <f t="shared" si="26"/>
        <v>23056.551436488895</v>
      </c>
      <c r="W51" s="58">
        <f t="shared" si="26"/>
        <v>21878.77152150439</v>
      </c>
    </row>
    <row r="52" spans="1:23" s="7" customFormat="1" x14ac:dyDescent="0.55000000000000004">
      <c r="A52" s="6"/>
      <c r="F52" s="8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</row>
    <row r="53" spans="1:23" s="7" customFormat="1" x14ac:dyDescent="0.55000000000000004">
      <c r="A53" s="6"/>
      <c r="B53" s="7" t="s">
        <v>87</v>
      </c>
      <c r="F53" s="8" t="s">
        <v>31</v>
      </c>
      <c r="L53" s="11">
        <f>L101</f>
        <v>-6189.8114219939116</v>
      </c>
      <c r="M53" s="11">
        <f t="shared" ref="M53:W53" si="27">M101</f>
        <v>-6537.8516860300224</v>
      </c>
      <c r="N53" s="11">
        <f t="shared" si="27"/>
        <v>-6946.4710293097478</v>
      </c>
      <c r="O53" s="11">
        <f t="shared" si="27"/>
        <v>-7419.5250099322766</v>
      </c>
      <c r="P53" s="11">
        <f t="shared" si="27"/>
        <v>-7961.2358704971539</v>
      </c>
      <c r="Q53" s="11">
        <f t="shared" si="27"/>
        <v>-8576.2203700676801</v>
      </c>
      <c r="R53" s="11">
        <f t="shared" si="27"/>
        <v>-9269.5198576995354</v>
      </c>
      <c r="S53" s="11">
        <f t="shared" si="27"/>
        <v>-10046.63275626151</v>
      </c>
      <c r="T53" s="11">
        <f t="shared" si="27"/>
        <v>-10913.549638118897</v>
      </c>
      <c r="U53" s="11">
        <f t="shared" si="27"/>
        <v>-11876.79108804188</v>
      </c>
      <c r="V53" s="11">
        <f t="shared" si="27"/>
        <v>-12943.448563511096</v>
      </c>
      <c r="W53" s="11">
        <f t="shared" si="27"/>
        <v>-14121.228478495599</v>
      </c>
    </row>
    <row r="54" spans="1:23" s="7" customFormat="1" x14ac:dyDescent="0.5">
      <c r="A54" s="6"/>
      <c r="B54" s="7" t="s">
        <v>52</v>
      </c>
      <c r="F54" s="8" t="s">
        <v>31</v>
      </c>
      <c r="H54" s="61">
        <f>INP!H45</f>
        <v>36000</v>
      </c>
      <c r="L54" s="11">
        <f>$H54</f>
        <v>36000</v>
      </c>
      <c r="M54" s="11">
        <f t="shared" ref="M54:W54" si="28">$H54</f>
        <v>36000</v>
      </c>
      <c r="N54" s="11">
        <f t="shared" si="28"/>
        <v>36000</v>
      </c>
      <c r="O54" s="11">
        <f t="shared" si="28"/>
        <v>36000</v>
      </c>
      <c r="P54" s="11">
        <f t="shared" si="28"/>
        <v>36000</v>
      </c>
      <c r="Q54" s="11">
        <f t="shared" si="28"/>
        <v>36000</v>
      </c>
      <c r="R54" s="11">
        <f t="shared" si="28"/>
        <v>36000</v>
      </c>
      <c r="S54" s="11">
        <f t="shared" si="28"/>
        <v>36000</v>
      </c>
      <c r="T54" s="11">
        <f t="shared" si="28"/>
        <v>36000</v>
      </c>
      <c r="U54" s="11">
        <f t="shared" si="28"/>
        <v>36000</v>
      </c>
      <c r="V54" s="11">
        <f t="shared" si="28"/>
        <v>36000</v>
      </c>
      <c r="W54" s="11">
        <f t="shared" si="28"/>
        <v>36000</v>
      </c>
    </row>
    <row r="55" spans="1:23" s="3" customFormat="1" x14ac:dyDescent="0.55000000000000004">
      <c r="A55" s="4"/>
      <c r="B55" s="43" t="s">
        <v>207</v>
      </c>
      <c r="C55" s="43"/>
      <c r="D55" s="43"/>
      <c r="E55" s="43"/>
      <c r="F55" s="57" t="s">
        <v>31</v>
      </c>
      <c r="G55" s="43"/>
      <c r="H55" s="43"/>
      <c r="I55" s="43"/>
      <c r="J55" s="43"/>
      <c r="K55" s="43"/>
      <c r="L55" s="58">
        <f>SUM(L53:L54)</f>
        <v>29810.188578006087</v>
      </c>
      <c r="M55" s="58">
        <f t="shared" ref="M55:W55" si="29">SUM(M53:M54)</f>
        <v>29462.148313969978</v>
      </c>
      <c r="N55" s="58">
        <f t="shared" si="29"/>
        <v>29053.528970690251</v>
      </c>
      <c r="O55" s="58">
        <f t="shared" si="29"/>
        <v>28580.474990067723</v>
      </c>
      <c r="P55" s="58">
        <f t="shared" si="29"/>
        <v>28038.764129502844</v>
      </c>
      <c r="Q55" s="58">
        <f t="shared" si="29"/>
        <v>27423.77962993232</v>
      </c>
      <c r="R55" s="58">
        <f t="shared" si="29"/>
        <v>26730.480142300465</v>
      </c>
      <c r="S55" s="58">
        <f t="shared" si="29"/>
        <v>25953.367243738488</v>
      </c>
      <c r="T55" s="58">
        <f t="shared" si="29"/>
        <v>25086.450361881103</v>
      </c>
      <c r="U55" s="58">
        <f t="shared" si="29"/>
        <v>24123.208911958121</v>
      </c>
      <c r="V55" s="58">
        <f t="shared" si="29"/>
        <v>23056.551436488902</v>
      </c>
      <c r="W55" s="58">
        <f t="shared" si="29"/>
        <v>21878.771521504401</v>
      </c>
    </row>
    <row r="56" spans="1:23" s="7" customFormat="1" x14ac:dyDescent="0.55000000000000004">
      <c r="A56" s="6"/>
      <c r="B56" s="7" t="s">
        <v>17</v>
      </c>
      <c r="F56" s="8" t="s">
        <v>31</v>
      </c>
      <c r="L56" s="11">
        <f>L55-L51</f>
        <v>0</v>
      </c>
      <c r="M56" s="11">
        <f t="shared" ref="M56:W56" si="30">M55-M51</f>
        <v>0</v>
      </c>
      <c r="N56" s="11">
        <f t="shared" si="30"/>
        <v>0</v>
      </c>
      <c r="O56" s="11">
        <f t="shared" si="30"/>
        <v>0</v>
      </c>
      <c r="P56" s="11">
        <f t="shared" si="30"/>
        <v>0</v>
      </c>
      <c r="Q56" s="11">
        <f t="shared" si="30"/>
        <v>0</v>
      </c>
      <c r="R56" s="11">
        <f t="shared" si="30"/>
        <v>0</v>
      </c>
      <c r="S56" s="11">
        <f t="shared" si="30"/>
        <v>0</v>
      </c>
      <c r="T56" s="11">
        <f t="shared" si="30"/>
        <v>0</v>
      </c>
      <c r="U56" s="11">
        <f t="shared" si="30"/>
        <v>0</v>
      </c>
      <c r="V56" s="11">
        <f t="shared" si="30"/>
        <v>0</v>
      </c>
      <c r="W56" s="11">
        <f t="shared" si="30"/>
        <v>0</v>
      </c>
    </row>
    <row r="57" spans="1:23" s="7" customFormat="1" x14ac:dyDescent="0.55000000000000004">
      <c r="A57" s="6"/>
      <c r="F57" s="8"/>
    </row>
    <row r="58" spans="1:23" s="7" customFormat="1" ht="14.4" x14ac:dyDescent="0.55000000000000004">
      <c r="A58" s="163" t="s">
        <v>0</v>
      </c>
      <c r="B58" s="198" t="s">
        <v>209</v>
      </c>
      <c r="C58" s="202"/>
      <c r="D58" s="202"/>
      <c r="E58" s="202"/>
      <c r="F58" s="203"/>
      <c r="G58" s="202"/>
      <c r="H58" s="202"/>
      <c r="I58" s="202"/>
      <c r="J58" s="202"/>
      <c r="K58" s="202"/>
      <c r="L58" s="202"/>
      <c r="M58" s="202"/>
      <c r="N58" s="202"/>
      <c r="O58" s="202"/>
      <c r="P58" s="202"/>
      <c r="Q58" s="202"/>
      <c r="R58" s="202"/>
      <c r="S58" s="202"/>
      <c r="T58" s="202"/>
      <c r="U58" s="202"/>
      <c r="V58" s="202"/>
      <c r="W58" s="202"/>
    </row>
    <row r="60" spans="1:23" x14ac:dyDescent="0.5">
      <c r="B60" s="2" t="str">
        <f>ARR_M!B49</f>
        <v>Start of Model</v>
      </c>
      <c r="F60" s="62" t="str">
        <f>ARR_M!F49</f>
        <v>[1,0]</v>
      </c>
      <c r="L60" s="63">
        <f>ARR_M!L49</f>
        <v>1</v>
      </c>
      <c r="M60" s="63">
        <f>ARR_M!M49</f>
        <v>0</v>
      </c>
      <c r="N60" s="63">
        <f>ARR_M!N49</f>
        <v>0</v>
      </c>
      <c r="O60" s="63">
        <f>ARR_M!O49</f>
        <v>0</v>
      </c>
      <c r="P60" s="63">
        <f>ARR_M!P49</f>
        <v>0</v>
      </c>
      <c r="Q60" s="63">
        <f>ARR_M!Q49</f>
        <v>0</v>
      </c>
      <c r="R60" s="63">
        <f>ARR_M!R49</f>
        <v>0</v>
      </c>
      <c r="S60" s="63">
        <f>ARR_M!S49</f>
        <v>0</v>
      </c>
      <c r="T60" s="63">
        <f>ARR_M!T49</f>
        <v>0</v>
      </c>
      <c r="U60" s="63">
        <f>ARR_M!U49</f>
        <v>0</v>
      </c>
      <c r="V60" s="63">
        <f>ARR_M!V49</f>
        <v>0</v>
      </c>
      <c r="W60" s="63">
        <f>ARR_M!W49</f>
        <v>0</v>
      </c>
    </row>
    <row r="62" spans="1:23" x14ac:dyDescent="0.5">
      <c r="B62" s="70" t="s">
        <v>210</v>
      </c>
      <c r="C62" s="71"/>
      <c r="D62" s="71"/>
      <c r="E62" s="71"/>
      <c r="F62" s="72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</row>
    <row r="64" spans="1:23" x14ac:dyDescent="0.5">
      <c r="B64" s="2" t="str">
        <f>INP!B31</f>
        <v>COGS</v>
      </c>
      <c r="F64" s="62" t="str">
        <f>INP!F31</f>
        <v>% MRR</v>
      </c>
      <c r="H64" s="59">
        <f>INP!H31</f>
        <v>0.18</v>
      </c>
      <c r="L64" s="73">
        <f>$H64*L$15</f>
        <v>89.785799999999981</v>
      </c>
      <c r="M64" s="73">
        <f t="shared" ref="M64:W67" si="31">$H64*M$15</f>
        <v>107.39259305999998</v>
      </c>
      <c r="N64" s="73">
        <f t="shared" si="31"/>
        <v>126.07223811442201</v>
      </c>
      <c r="O64" s="73">
        <f t="shared" si="31"/>
        <v>145.92941539763149</v>
      </c>
      <c r="P64" s="73">
        <f t="shared" si="31"/>
        <v>167.07668782435232</v>
      </c>
      <c r="Q64" s="73">
        <f t="shared" si="31"/>
        <v>189.63513983392733</v>
      </c>
      <c r="R64" s="73">
        <f t="shared" si="31"/>
        <v>213.73506422822078</v>
      </c>
      <c r="S64" s="73">
        <f t="shared" si="31"/>
        <v>239.51670066566615</v>
      </c>
      <c r="T64" s="73">
        <f t="shared" si="31"/>
        <v>267.13102974418126</v>
      </c>
      <c r="U64" s="73">
        <f t="shared" si="31"/>
        <v>296.74062689586452</v>
      </c>
      <c r="V64" s="73">
        <f t="shared" si="31"/>
        <v>328.5205806280016</v>
      </c>
      <c r="W64" s="73">
        <f t="shared" si="31"/>
        <v>362.65947997950866</v>
      </c>
    </row>
    <row r="65" spans="1:23" x14ac:dyDescent="0.5">
      <c r="B65" s="2" t="str">
        <f>INP!B32</f>
        <v>Sales &amp; Marketing</v>
      </c>
      <c r="F65" s="62" t="str">
        <f>INP!F32</f>
        <v>% MRR</v>
      </c>
      <c r="H65" s="59">
        <f>INP!H32</f>
        <v>0.9</v>
      </c>
      <c r="L65" s="73">
        <f t="shared" ref="L65:L67" si="32">$H65*L$15</f>
        <v>448.92899999999997</v>
      </c>
      <c r="M65" s="73">
        <f t="shared" si="31"/>
        <v>536.96296529999995</v>
      </c>
      <c r="N65" s="73">
        <f t="shared" si="31"/>
        <v>630.36119057210999</v>
      </c>
      <c r="O65" s="73">
        <f t="shared" si="31"/>
        <v>729.64707698815755</v>
      </c>
      <c r="P65" s="73">
        <f t="shared" si="31"/>
        <v>835.38343912176163</v>
      </c>
      <c r="Q65" s="73">
        <f t="shared" si="31"/>
        <v>948.17569916963669</v>
      </c>
      <c r="R65" s="73">
        <f t="shared" si="31"/>
        <v>1068.675321141104</v>
      </c>
      <c r="S65" s="73">
        <f t="shared" si="31"/>
        <v>1197.5835033283308</v>
      </c>
      <c r="T65" s="73">
        <f t="shared" si="31"/>
        <v>1335.6551487209065</v>
      </c>
      <c r="U65" s="73">
        <f t="shared" si="31"/>
        <v>1483.7031344793227</v>
      </c>
      <c r="V65" s="73">
        <f t="shared" si="31"/>
        <v>1642.6029031400083</v>
      </c>
      <c r="W65" s="73">
        <f t="shared" si="31"/>
        <v>1813.2973998975435</v>
      </c>
    </row>
    <row r="66" spans="1:23" x14ac:dyDescent="0.5">
      <c r="B66" s="2" t="str">
        <f>INP!B33</f>
        <v>Product &amp; Engineering</v>
      </c>
      <c r="F66" s="62" t="str">
        <f>INP!F33</f>
        <v>% MRR</v>
      </c>
      <c r="H66" s="59">
        <f>INP!H33</f>
        <v>0.4</v>
      </c>
      <c r="L66" s="73">
        <f t="shared" si="32"/>
        <v>199.524</v>
      </c>
      <c r="M66" s="73">
        <f t="shared" si="31"/>
        <v>238.65020679999998</v>
      </c>
      <c r="N66" s="73">
        <f t="shared" si="31"/>
        <v>280.16052914316003</v>
      </c>
      <c r="O66" s="73">
        <f t="shared" si="31"/>
        <v>324.28758977251448</v>
      </c>
      <c r="P66" s="73">
        <f t="shared" si="31"/>
        <v>371.2815284985607</v>
      </c>
      <c r="Q66" s="73">
        <f t="shared" si="31"/>
        <v>421.41142185317187</v>
      </c>
      <c r="R66" s="73">
        <f t="shared" si="31"/>
        <v>474.96680939604624</v>
      </c>
      <c r="S66" s="73">
        <f t="shared" si="31"/>
        <v>532.25933481259142</v>
      </c>
      <c r="T66" s="73">
        <f t="shared" si="31"/>
        <v>593.6245105426251</v>
      </c>
      <c r="U66" s="73">
        <f t="shared" si="31"/>
        <v>659.4236153241435</v>
      </c>
      <c r="V66" s="73">
        <f t="shared" si="31"/>
        <v>730.04573472889251</v>
      </c>
      <c r="W66" s="73">
        <f t="shared" si="31"/>
        <v>805.90995551001936</v>
      </c>
    </row>
    <row r="67" spans="1:23" x14ac:dyDescent="0.5">
      <c r="B67" s="2" t="str">
        <f>INP!B34</f>
        <v>G&amp;A</v>
      </c>
      <c r="F67" s="62" t="str">
        <f>INP!F34</f>
        <v>% MRR</v>
      </c>
      <c r="H67" s="59">
        <f>INP!H34</f>
        <v>0.1</v>
      </c>
      <c r="L67" s="73">
        <f t="shared" si="32"/>
        <v>49.881</v>
      </c>
      <c r="M67" s="73">
        <f t="shared" si="31"/>
        <v>59.662551699999995</v>
      </c>
      <c r="N67" s="73">
        <f t="shared" si="31"/>
        <v>70.040132285790008</v>
      </c>
      <c r="O67" s="73">
        <f t="shared" si="31"/>
        <v>81.07189744312862</v>
      </c>
      <c r="P67" s="73">
        <f t="shared" si="31"/>
        <v>92.820382124640176</v>
      </c>
      <c r="Q67" s="73">
        <f t="shared" si="31"/>
        <v>105.35285546329297</v>
      </c>
      <c r="R67" s="73">
        <f t="shared" si="31"/>
        <v>118.74170234901156</v>
      </c>
      <c r="S67" s="73">
        <f t="shared" si="31"/>
        <v>133.06483370314785</v>
      </c>
      <c r="T67" s="73">
        <f t="shared" si="31"/>
        <v>148.40612763565628</v>
      </c>
      <c r="U67" s="73">
        <f t="shared" si="31"/>
        <v>164.85590383103587</v>
      </c>
      <c r="V67" s="73">
        <f t="shared" si="31"/>
        <v>182.51143368222313</v>
      </c>
      <c r="W67" s="73">
        <f t="shared" si="31"/>
        <v>201.47748887750484</v>
      </c>
    </row>
    <row r="69" spans="1:23" x14ac:dyDescent="0.5">
      <c r="B69" s="70" t="s">
        <v>211</v>
      </c>
      <c r="C69" s="71"/>
      <c r="D69" s="71"/>
      <c r="E69" s="71"/>
      <c r="F69" s="72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</row>
    <row r="71" spans="1:23" x14ac:dyDescent="0.5">
      <c r="B71" s="2" t="s">
        <v>68</v>
      </c>
      <c r="F71" s="62" t="s">
        <v>15</v>
      </c>
      <c r="L71" s="74">
        <f>COLUMNS($L60:L60)</f>
        <v>1</v>
      </c>
      <c r="M71" s="74">
        <f>COLUMNS($L60:M60)</f>
        <v>2</v>
      </c>
      <c r="N71" s="74">
        <f>COLUMNS($L60:N60)</f>
        <v>3</v>
      </c>
      <c r="O71" s="74">
        <f>COLUMNS($L60:O60)</f>
        <v>4</v>
      </c>
      <c r="P71" s="74">
        <f>COLUMNS($L60:P60)</f>
        <v>5</v>
      </c>
      <c r="Q71" s="74">
        <f>COLUMNS($L60:Q60)</f>
        <v>6</v>
      </c>
      <c r="R71" s="74">
        <f>COLUMNS($L60:R60)</f>
        <v>7</v>
      </c>
      <c r="S71" s="74">
        <f>COLUMNS($L60:S60)</f>
        <v>8</v>
      </c>
      <c r="T71" s="74">
        <f>COLUMNS($L60:T60)</f>
        <v>9</v>
      </c>
      <c r="U71" s="74">
        <f>COLUMNS($L60:U60)</f>
        <v>10</v>
      </c>
      <c r="V71" s="74">
        <f>COLUMNS($L60:V60)</f>
        <v>11</v>
      </c>
      <c r="W71" s="74">
        <f>COLUMNS($L60:W60)</f>
        <v>12</v>
      </c>
    </row>
    <row r="72" spans="1:23" x14ac:dyDescent="0.5">
      <c r="B72" s="2" t="s">
        <v>66</v>
      </c>
      <c r="F72" s="62" t="s">
        <v>31</v>
      </c>
      <c r="L72" s="75">
        <f>SUM(L77:L78)</f>
        <v>59.976199999999999</v>
      </c>
      <c r="M72" s="75">
        <f t="shared" ref="M72:W72" si="33">SUM(M77:M78)</f>
        <v>11.932510339999999</v>
      </c>
      <c r="N72" s="75">
        <f t="shared" si="33"/>
        <v>14.008026457158001</v>
      </c>
      <c r="O72" s="75">
        <f t="shared" si="33"/>
        <v>16.214379488625724</v>
      </c>
      <c r="P72" s="75">
        <f t="shared" si="33"/>
        <v>18.564076424928036</v>
      </c>
      <c r="Q72" s="75">
        <f t="shared" si="33"/>
        <v>21.070571092658593</v>
      </c>
      <c r="R72" s="75">
        <f t="shared" si="33"/>
        <v>23.748340469802312</v>
      </c>
      <c r="S72" s="75">
        <f t="shared" si="33"/>
        <v>26.612966740629574</v>
      </c>
      <c r="T72" s="75">
        <f t="shared" si="33"/>
        <v>29.681225527131257</v>
      </c>
      <c r="U72" s="75">
        <f t="shared" si="33"/>
        <v>32.971180766207169</v>
      </c>
      <c r="V72" s="75">
        <f t="shared" si="33"/>
        <v>36.502286736444624</v>
      </c>
      <c r="W72" s="75">
        <f t="shared" si="33"/>
        <v>40.295497775500969</v>
      </c>
    </row>
    <row r="73" spans="1:23" x14ac:dyDescent="0.5">
      <c r="B73" s="2" t="s">
        <v>67</v>
      </c>
      <c r="F73" s="62" t="s">
        <v>31</v>
      </c>
      <c r="H73" s="76">
        <f>1/H79</f>
        <v>36</v>
      </c>
      <c r="L73" s="75">
        <f>SUMIF($L71:L71,"&gt;"&amp;MIN(L71-$H73/12,L71),$L72:L72)</f>
        <v>59.976199999999999</v>
      </c>
      <c r="M73" s="75">
        <f>SUMIF($L71:M71,"&gt;"&amp;MIN(M71-$H73,M71),$L72:M72)</f>
        <v>71.908710339999999</v>
      </c>
      <c r="N73" s="75">
        <f>SUMIF($L71:N71,"&gt;"&amp;MIN(N71-$H73,N71),$L72:N72)</f>
        <v>85.916736797157995</v>
      </c>
      <c r="O73" s="75">
        <f>SUMIF($L71:O71,"&gt;"&amp;MIN(O71-$H73,O71),$L72:O72)</f>
        <v>102.13111628578372</v>
      </c>
      <c r="P73" s="75">
        <f>SUMIF($L71:P71,"&gt;"&amp;MIN(P71-$H73,P71),$L72:P72)</f>
        <v>120.69519271071175</v>
      </c>
      <c r="Q73" s="75">
        <f>SUMIF($L71:Q71,"&gt;"&amp;MIN(Q71-$H73,Q71),$L72:Q72)</f>
        <v>141.76576380337033</v>
      </c>
      <c r="R73" s="75">
        <f>SUMIF($L71:R71,"&gt;"&amp;MIN(R71-$H73,R71),$L72:R72)</f>
        <v>165.51410427317265</v>
      </c>
      <c r="S73" s="75">
        <f>SUMIF($L71:S71,"&gt;"&amp;MIN(S71-$H73,S71),$L72:S72)</f>
        <v>192.12707101380221</v>
      </c>
      <c r="T73" s="75">
        <f>SUMIF($L71:T71,"&gt;"&amp;MIN(T71-$H73,T71),$L72:T72)</f>
        <v>221.80829654093347</v>
      </c>
      <c r="U73" s="75">
        <f>SUMIF($L71:U71,"&gt;"&amp;MIN(U71-$H73,U71),$L72:U72)</f>
        <v>254.77947730714064</v>
      </c>
      <c r="V73" s="75">
        <f>SUMIF($L71:V71,"&gt;"&amp;MIN(V71-$H73,V71),$L72:V72)</f>
        <v>291.28176404358527</v>
      </c>
      <c r="W73" s="75">
        <f>SUMIF($L71:W71,"&gt;"&amp;MIN(W71-$H73,W71),$L72:W72)</f>
        <v>331.57726181908623</v>
      </c>
    </row>
    <row r="74" spans="1:23" ht="14.4" x14ac:dyDescent="0.55000000000000004">
      <c r="A74" s="165"/>
      <c r="B74" s="16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</row>
    <row r="75" spans="1:23" x14ac:dyDescent="0.5">
      <c r="B75" s="77" t="s">
        <v>212</v>
      </c>
    </row>
    <row r="76" spans="1:23" x14ac:dyDescent="0.5">
      <c r="B76" s="2" t="s">
        <v>39</v>
      </c>
      <c r="L76" s="75">
        <f>K80</f>
        <v>0</v>
      </c>
      <c r="M76" s="75">
        <f t="shared" ref="M76:W76" si="34">L80</f>
        <v>58.310194444444441</v>
      </c>
      <c r="N76" s="75">
        <f t="shared" si="34"/>
        <v>68.245240608333333</v>
      </c>
      <c r="O76" s="75">
        <f t="shared" si="34"/>
        <v>79.866691043348055</v>
      </c>
      <c r="P76" s="75">
        <f t="shared" si="34"/>
        <v>93.244095079590892</v>
      </c>
      <c r="Q76" s="75">
        <f t="shared" si="34"/>
        <v>108.45552726255471</v>
      </c>
      <c r="R76" s="75">
        <f t="shared" si="34"/>
        <v>125.58816047178634</v>
      </c>
      <c r="S76" s="75">
        <f t="shared" si="34"/>
        <v>144.7388869340005</v>
      </c>
      <c r="T76" s="75">
        <f t="shared" si="34"/>
        <v>166.01499059091336</v>
      </c>
      <c r="U76" s="75">
        <f t="shared" si="34"/>
        <v>189.53487454746312</v>
      </c>
      <c r="V76" s="75">
        <f t="shared" si="34"/>
        <v>215.42884761069416</v>
      </c>
      <c r="W76" s="75">
        <f t="shared" si="34"/>
        <v>243.83997423481699</v>
      </c>
    </row>
    <row r="77" spans="1:23" x14ac:dyDescent="0.5">
      <c r="B77" s="2" t="s">
        <v>64</v>
      </c>
      <c r="F77" s="62" t="s">
        <v>31</v>
      </c>
      <c r="H77" s="59">
        <f>INP!H39</f>
        <v>0.02</v>
      </c>
      <c r="L77" s="78">
        <f>$H77*ARR_M!L$135</f>
        <v>9.9761999999999986</v>
      </c>
      <c r="M77" s="78">
        <f>$H77*ARR_M!M$135</f>
        <v>11.932510339999999</v>
      </c>
      <c r="N77" s="78">
        <f>$H77*ARR_M!N$135</f>
        <v>14.008026457158001</v>
      </c>
      <c r="O77" s="78">
        <f>$H77*ARR_M!O$135</f>
        <v>16.214379488625724</v>
      </c>
      <c r="P77" s="78">
        <f>$H77*ARR_M!P$135</f>
        <v>18.564076424928036</v>
      </c>
      <c r="Q77" s="78">
        <f>$H77*ARR_M!Q$135</f>
        <v>21.070571092658593</v>
      </c>
      <c r="R77" s="78">
        <f>$H77*ARR_M!R$135</f>
        <v>23.748340469802312</v>
      </c>
      <c r="S77" s="78">
        <f>$H77*ARR_M!S$135</f>
        <v>26.612966740629574</v>
      </c>
      <c r="T77" s="78">
        <f>$H77*ARR_M!T$135</f>
        <v>29.681225527131257</v>
      </c>
      <c r="U77" s="78">
        <f>$H77*ARR_M!U$135</f>
        <v>32.971180766207169</v>
      </c>
      <c r="V77" s="78">
        <f>$H77*ARR_M!V$135</f>
        <v>36.502286736444624</v>
      </c>
      <c r="W77" s="78">
        <f>$H77*ARR_M!W$135</f>
        <v>40.295497775500969</v>
      </c>
    </row>
    <row r="78" spans="1:23" x14ac:dyDescent="0.5">
      <c r="B78" s="2" t="s">
        <v>65</v>
      </c>
      <c r="F78" s="62" t="s">
        <v>31</v>
      </c>
      <c r="H78" s="79">
        <f>INP!H38</f>
        <v>50</v>
      </c>
      <c r="L78" s="75">
        <f t="shared" ref="L78:W78" si="35">$H78*L$60</f>
        <v>50</v>
      </c>
      <c r="M78" s="75">
        <f t="shared" si="35"/>
        <v>0</v>
      </c>
      <c r="N78" s="75">
        <f t="shared" si="35"/>
        <v>0</v>
      </c>
      <c r="O78" s="75">
        <f t="shared" si="35"/>
        <v>0</v>
      </c>
      <c r="P78" s="75">
        <f t="shared" si="35"/>
        <v>0</v>
      </c>
      <c r="Q78" s="75">
        <f t="shared" si="35"/>
        <v>0</v>
      </c>
      <c r="R78" s="75">
        <f t="shared" si="35"/>
        <v>0</v>
      </c>
      <c r="S78" s="75">
        <f t="shared" si="35"/>
        <v>0</v>
      </c>
      <c r="T78" s="75">
        <f t="shared" si="35"/>
        <v>0</v>
      </c>
      <c r="U78" s="75">
        <f t="shared" si="35"/>
        <v>0</v>
      </c>
      <c r="V78" s="75">
        <f t="shared" si="35"/>
        <v>0</v>
      </c>
      <c r="W78" s="75">
        <f t="shared" si="35"/>
        <v>0</v>
      </c>
    </row>
    <row r="79" spans="1:23" x14ac:dyDescent="0.5">
      <c r="B79" s="2" t="s">
        <v>58</v>
      </c>
      <c r="F79" s="62" t="s">
        <v>31</v>
      </c>
      <c r="H79" s="59">
        <f>INP!H40</f>
        <v>2.7777777777777776E-2</v>
      </c>
      <c r="L79" s="75">
        <f>-$H79*L73</f>
        <v>-1.6660055555555555</v>
      </c>
      <c r="M79" s="75">
        <f t="shared" ref="M79:W79" si="36">-$H79*M73</f>
        <v>-1.9974641761111109</v>
      </c>
      <c r="N79" s="75">
        <f t="shared" si="36"/>
        <v>-2.3865760221432777</v>
      </c>
      <c r="O79" s="75">
        <f t="shared" si="36"/>
        <v>-2.8369754523828807</v>
      </c>
      <c r="P79" s="75">
        <f t="shared" si="36"/>
        <v>-3.3526442419642151</v>
      </c>
      <c r="Q79" s="75">
        <f t="shared" si="36"/>
        <v>-3.9379378834269536</v>
      </c>
      <c r="R79" s="75">
        <f t="shared" si="36"/>
        <v>-4.5976140075881284</v>
      </c>
      <c r="S79" s="75">
        <f t="shared" si="36"/>
        <v>-5.3368630837167279</v>
      </c>
      <c r="T79" s="75">
        <f t="shared" si="36"/>
        <v>-6.1613415705814853</v>
      </c>
      <c r="U79" s="75">
        <f t="shared" si="36"/>
        <v>-7.0772077029761284</v>
      </c>
      <c r="V79" s="75">
        <f t="shared" si="36"/>
        <v>-8.0911601123218126</v>
      </c>
      <c r="W79" s="75">
        <f t="shared" si="36"/>
        <v>-9.2104794949746172</v>
      </c>
    </row>
    <row r="80" spans="1:23" x14ac:dyDescent="0.5">
      <c r="B80" s="80" t="s">
        <v>185</v>
      </c>
      <c r="C80" s="80"/>
      <c r="D80" s="80"/>
      <c r="E80" s="80"/>
      <c r="F80" s="81"/>
      <c r="G80" s="80"/>
      <c r="H80" s="80"/>
      <c r="I80" s="80"/>
      <c r="J80" s="80"/>
      <c r="K80" s="80"/>
      <c r="L80" s="82">
        <f>SUM(L76:L79)</f>
        <v>58.310194444444441</v>
      </c>
      <c r="M80" s="82">
        <f t="shared" ref="M80:W80" si="37">SUM(M76:M79)</f>
        <v>68.245240608333333</v>
      </c>
      <c r="N80" s="82">
        <f t="shared" si="37"/>
        <v>79.866691043348055</v>
      </c>
      <c r="O80" s="82">
        <f t="shared" si="37"/>
        <v>93.244095079590892</v>
      </c>
      <c r="P80" s="82">
        <f t="shared" si="37"/>
        <v>108.45552726255471</v>
      </c>
      <c r="Q80" s="82">
        <f t="shared" si="37"/>
        <v>125.58816047178634</v>
      </c>
      <c r="R80" s="82">
        <f t="shared" si="37"/>
        <v>144.7388869340005</v>
      </c>
      <c r="S80" s="82">
        <f t="shared" si="37"/>
        <v>166.01499059091336</v>
      </c>
      <c r="T80" s="82">
        <f t="shared" si="37"/>
        <v>189.53487454746312</v>
      </c>
      <c r="U80" s="82">
        <f t="shared" si="37"/>
        <v>215.42884761069416</v>
      </c>
      <c r="V80" s="82">
        <f t="shared" si="37"/>
        <v>243.83997423481699</v>
      </c>
      <c r="W80" s="82">
        <f t="shared" si="37"/>
        <v>274.92499251534338</v>
      </c>
    </row>
    <row r="82" spans="2:23" x14ac:dyDescent="0.5">
      <c r="B82" s="70" t="s">
        <v>213</v>
      </c>
      <c r="C82" s="71"/>
      <c r="D82" s="71"/>
      <c r="E82" s="71"/>
      <c r="F82" s="72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</row>
    <row r="84" spans="2:23" x14ac:dyDescent="0.5">
      <c r="B84" s="2" t="s">
        <v>78</v>
      </c>
      <c r="F84" s="62" t="s">
        <v>31</v>
      </c>
      <c r="L84" s="78">
        <f>ARR_M!L111</f>
        <v>415</v>
      </c>
      <c r="M84" s="78">
        <f>ARR_M!M111</f>
        <v>498.80999999999995</v>
      </c>
      <c r="N84" s="78">
        <f>ARR_M!N111</f>
        <v>596.62551699999995</v>
      </c>
      <c r="O84" s="78">
        <f>ARR_M!O111</f>
        <v>700.40132285790003</v>
      </c>
      <c r="P84" s="78">
        <f>ARR_M!P111</f>
        <v>810.71897443128614</v>
      </c>
      <c r="Q84" s="78">
        <f>ARR_M!Q111</f>
        <v>928.20382124640173</v>
      </c>
      <c r="R84" s="78">
        <f>ARR_M!R111</f>
        <v>1053.5285546329296</v>
      </c>
      <c r="S84" s="78">
        <f>ARR_M!S111</f>
        <v>1187.4170234901155</v>
      </c>
      <c r="T84" s="78">
        <f>ARR_M!T111</f>
        <v>1330.6483370314786</v>
      </c>
      <c r="U84" s="78">
        <f>ARR_M!U111</f>
        <v>1484.0612763565628</v>
      </c>
      <c r="V84" s="78">
        <f>ARR_M!V111</f>
        <v>1648.5590383103586</v>
      </c>
      <c r="W84" s="78">
        <f>ARR_M!W111</f>
        <v>1825.1143368222313</v>
      </c>
    </row>
    <row r="85" spans="2:23" x14ac:dyDescent="0.5">
      <c r="B85" s="2" t="s">
        <v>79</v>
      </c>
      <c r="F85" s="62" t="s">
        <v>31</v>
      </c>
      <c r="L85" s="75">
        <f t="shared" ref="L85:W85" si="38">L15</f>
        <v>498.80999999999995</v>
      </c>
      <c r="M85" s="75">
        <f t="shared" si="38"/>
        <v>596.62551699999995</v>
      </c>
      <c r="N85" s="75">
        <f t="shared" si="38"/>
        <v>700.40132285790003</v>
      </c>
      <c r="O85" s="75">
        <f t="shared" si="38"/>
        <v>810.71897443128614</v>
      </c>
      <c r="P85" s="75">
        <f t="shared" si="38"/>
        <v>928.20382124640173</v>
      </c>
      <c r="Q85" s="75">
        <f t="shared" si="38"/>
        <v>1053.5285546329296</v>
      </c>
      <c r="R85" s="75">
        <f t="shared" si="38"/>
        <v>1187.4170234901155</v>
      </c>
      <c r="S85" s="75">
        <f t="shared" si="38"/>
        <v>1330.6483370314786</v>
      </c>
      <c r="T85" s="75">
        <f t="shared" si="38"/>
        <v>1484.0612763565628</v>
      </c>
      <c r="U85" s="75">
        <f t="shared" si="38"/>
        <v>1648.5590383103586</v>
      </c>
      <c r="V85" s="75">
        <f t="shared" si="38"/>
        <v>1825.1143368222313</v>
      </c>
      <c r="W85" s="75">
        <f t="shared" si="38"/>
        <v>2014.7748887750483</v>
      </c>
    </row>
    <row r="86" spans="2:23" x14ac:dyDescent="0.5">
      <c r="B86" s="80" t="s">
        <v>80</v>
      </c>
      <c r="C86" s="80"/>
      <c r="D86" s="80"/>
      <c r="E86" s="80"/>
      <c r="F86" s="81" t="s">
        <v>31</v>
      </c>
      <c r="G86" s="80"/>
      <c r="H86" s="80"/>
      <c r="I86" s="80"/>
      <c r="J86" s="80"/>
      <c r="K86" s="80"/>
      <c r="L86" s="82">
        <f>L85-L84</f>
        <v>83.809999999999945</v>
      </c>
      <c r="M86" s="82">
        <f t="shared" ref="M86:W86" si="39">M85-M84</f>
        <v>97.815517</v>
      </c>
      <c r="N86" s="82">
        <f t="shared" si="39"/>
        <v>103.77580585790008</v>
      </c>
      <c r="O86" s="82">
        <f t="shared" si="39"/>
        <v>110.31765157338612</v>
      </c>
      <c r="P86" s="82">
        <f t="shared" si="39"/>
        <v>117.48484681511559</v>
      </c>
      <c r="Q86" s="82">
        <f t="shared" si="39"/>
        <v>125.3247333865279</v>
      </c>
      <c r="R86" s="82">
        <f t="shared" si="39"/>
        <v>133.8884688571859</v>
      </c>
      <c r="S86" s="82">
        <f t="shared" si="39"/>
        <v>143.23131354136308</v>
      </c>
      <c r="T86" s="82">
        <f t="shared" si="39"/>
        <v>153.41293932508415</v>
      </c>
      <c r="U86" s="82">
        <f t="shared" si="39"/>
        <v>164.49776195379582</v>
      </c>
      <c r="V86" s="82">
        <f t="shared" si="39"/>
        <v>176.55529851187271</v>
      </c>
      <c r="W86" s="82">
        <f t="shared" si="39"/>
        <v>189.66055195281706</v>
      </c>
    </row>
    <row r="87" spans="2:23" x14ac:dyDescent="0.5">
      <c r="B87" s="2" t="s">
        <v>77</v>
      </c>
      <c r="F87" s="62" t="s">
        <v>15</v>
      </c>
      <c r="H87" s="79">
        <f>INP!H41</f>
        <v>45</v>
      </c>
      <c r="L87" s="75">
        <f>$H87</f>
        <v>45</v>
      </c>
      <c r="M87" s="75">
        <f t="shared" ref="M87:W87" si="40">$H87</f>
        <v>45</v>
      </c>
      <c r="N87" s="75">
        <f t="shared" si="40"/>
        <v>45</v>
      </c>
      <c r="O87" s="75">
        <f t="shared" si="40"/>
        <v>45</v>
      </c>
      <c r="P87" s="75">
        <f t="shared" si="40"/>
        <v>45</v>
      </c>
      <c r="Q87" s="75">
        <f t="shared" si="40"/>
        <v>45</v>
      </c>
      <c r="R87" s="75">
        <f t="shared" si="40"/>
        <v>45</v>
      </c>
      <c r="S87" s="75">
        <f t="shared" si="40"/>
        <v>45</v>
      </c>
      <c r="T87" s="75">
        <f t="shared" si="40"/>
        <v>45</v>
      </c>
      <c r="U87" s="75">
        <f t="shared" si="40"/>
        <v>45</v>
      </c>
      <c r="V87" s="75">
        <f t="shared" si="40"/>
        <v>45</v>
      </c>
      <c r="W87" s="75">
        <f t="shared" si="40"/>
        <v>45</v>
      </c>
    </row>
    <row r="88" spans="2:23" x14ac:dyDescent="0.5">
      <c r="B88" s="80" t="s">
        <v>214</v>
      </c>
      <c r="C88" s="80"/>
      <c r="D88" s="80"/>
      <c r="E88" s="80"/>
      <c r="F88" s="81" t="s">
        <v>31</v>
      </c>
      <c r="G88" s="80"/>
      <c r="H88" s="80"/>
      <c r="I88" s="80"/>
      <c r="J88" s="80"/>
      <c r="K88" s="80"/>
      <c r="L88" s="82">
        <f>L87/SUM($L$9:$W$9)*L86</f>
        <v>10.332739726027389</v>
      </c>
      <c r="M88" s="82">
        <f t="shared" ref="M88:W88" si="41">M87/SUM($L$9:$W$9)*M86</f>
        <v>12.059447301369863</v>
      </c>
      <c r="N88" s="82">
        <f t="shared" si="41"/>
        <v>12.794277434535626</v>
      </c>
      <c r="O88" s="82">
        <f t="shared" si="41"/>
        <v>13.600806358362671</v>
      </c>
      <c r="P88" s="82">
        <f t="shared" si="41"/>
        <v>14.484433168986852</v>
      </c>
      <c r="Q88" s="82">
        <f t="shared" si="41"/>
        <v>15.450994527106179</v>
      </c>
      <c r="R88" s="82">
        <f t="shared" si="41"/>
        <v>16.506797530337987</v>
      </c>
      <c r="S88" s="82">
        <f t="shared" si="41"/>
        <v>17.658655094140652</v>
      </c>
      <c r="T88" s="82">
        <f t="shared" si="41"/>
        <v>18.913924026380236</v>
      </c>
      <c r="U88" s="82">
        <f t="shared" si="41"/>
        <v>20.280545994303594</v>
      </c>
      <c r="V88" s="82">
        <f t="shared" si="41"/>
        <v>21.767091597354167</v>
      </c>
      <c r="W88" s="82">
        <f t="shared" si="41"/>
        <v>23.382807775004842</v>
      </c>
    </row>
    <row r="90" spans="2:23" x14ac:dyDescent="0.5">
      <c r="B90" s="2" t="s">
        <v>45</v>
      </c>
      <c r="F90" s="62" t="s">
        <v>31</v>
      </c>
      <c r="L90" s="75">
        <f t="shared" ref="L90:W90" si="42">L15</f>
        <v>498.80999999999995</v>
      </c>
      <c r="M90" s="75">
        <f t="shared" si="42"/>
        <v>596.62551699999995</v>
      </c>
      <c r="N90" s="75">
        <f t="shared" si="42"/>
        <v>700.40132285790003</v>
      </c>
      <c r="O90" s="75">
        <f t="shared" si="42"/>
        <v>810.71897443128614</v>
      </c>
      <c r="P90" s="75">
        <f t="shared" si="42"/>
        <v>928.20382124640173</v>
      </c>
      <c r="Q90" s="75">
        <f t="shared" si="42"/>
        <v>1053.5285546329296</v>
      </c>
      <c r="R90" s="75">
        <f t="shared" si="42"/>
        <v>1187.4170234901155</v>
      </c>
      <c r="S90" s="75">
        <f t="shared" si="42"/>
        <v>1330.6483370314786</v>
      </c>
      <c r="T90" s="75">
        <f t="shared" si="42"/>
        <v>1484.0612763565628</v>
      </c>
      <c r="U90" s="75">
        <f t="shared" si="42"/>
        <v>1648.5590383103586</v>
      </c>
      <c r="V90" s="75">
        <f t="shared" si="42"/>
        <v>1825.1143368222313</v>
      </c>
      <c r="W90" s="75">
        <f t="shared" si="42"/>
        <v>2014.7748887750483</v>
      </c>
    </row>
    <row r="91" spans="2:23" x14ac:dyDescent="0.5">
      <c r="B91" s="2" t="s">
        <v>77</v>
      </c>
      <c r="F91" s="62" t="s">
        <v>31</v>
      </c>
      <c r="L91" s="75">
        <f>L87</f>
        <v>45</v>
      </c>
      <c r="M91" s="75">
        <f t="shared" ref="M91:W91" si="43">M87</f>
        <v>45</v>
      </c>
      <c r="N91" s="75">
        <f t="shared" si="43"/>
        <v>45</v>
      </c>
      <c r="O91" s="75">
        <f t="shared" si="43"/>
        <v>45</v>
      </c>
      <c r="P91" s="75">
        <f t="shared" si="43"/>
        <v>45</v>
      </c>
      <c r="Q91" s="75">
        <f t="shared" si="43"/>
        <v>45</v>
      </c>
      <c r="R91" s="75">
        <f t="shared" si="43"/>
        <v>45</v>
      </c>
      <c r="S91" s="75">
        <f t="shared" si="43"/>
        <v>45</v>
      </c>
      <c r="T91" s="75">
        <f t="shared" si="43"/>
        <v>45</v>
      </c>
      <c r="U91" s="75">
        <f t="shared" si="43"/>
        <v>45</v>
      </c>
      <c r="V91" s="75">
        <f t="shared" si="43"/>
        <v>45</v>
      </c>
      <c r="W91" s="75">
        <f t="shared" si="43"/>
        <v>45</v>
      </c>
    </row>
    <row r="92" spans="2:23" x14ac:dyDescent="0.5">
      <c r="B92" s="80" t="s">
        <v>215</v>
      </c>
      <c r="C92" s="80"/>
      <c r="D92" s="80"/>
      <c r="E92" s="80"/>
      <c r="F92" s="81" t="s">
        <v>31</v>
      </c>
      <c r="G92" s="80"/>
      <c r="H92" s="80"/>
      <c r="I92" s="80"/>
      <c r="J92" s="80"/>
      <c r="K92" s="80"/>
      <c r="L92" s="82">
        <f>L91/SUM($L$9:$W$9)*L90</f>
        <v>61.497123287671222</v>
      </c>
      <c r="M92" s="82">
        <f t="shared" ref="M92" si="44">M91/SUM($L$9:$W$9)*M90</f>
        <v>73.556570589041087</v>
      </c>
      <c r="N92" s="82">
        <f t="shared" ref="N92" si="45">N91/SUM($L$9:$W$9)*N90</f>
        <v>86.350848023576717</v>
      </c>
      <c r="O92" s="82">
        <f t="shared" ref="O92" si="46">O91/SUM($L$9:$W$9)*O90</f>
        <v>99.951654381939377</v>
      </c>
      <c r="P92" s="82">
        <f t="shared" ref="P92" si="47">P91/SUM($L$9:$W$9)*P90</f>
        <v>114.43608755092623</v>
      </c>
      <c r="Q92" s="82">
        <f t="shared" ref="Q92" si="48">Q91/SUM($L$9:$W$9)*Q90</f>
        <v>129.88708207803242</v>
      </c>
      <c r="R92" s="82">
        <f t="shared" ref="R92" si="49">R91/SUM($L$9:$W$9)*R90</f>
        <v>146.39387960837041</v>
      </c>
      <c r="S92" s="82">
        <f t="shared" ref="S92" si="50">S91/SUM($L$9:$W$9)*S90</f>
        <v>164.05253470251105</v>
      </c>
      <c r="T92" s="82">
        <f t="shared" ref="T92" si="51">T91/SUM($L$9:$W$9)*T90</f>
        <v>182.9664587288913</v>
      </c>
      <c r="U92" s="82">
        <f t="shared" ref="U92" si="52">U91/SUM($L$9:$W$9)*U90</f>
        <v>203.24700472319489</v>
      </c>
      <c r="V92" s="82">
        <f t="shared" ref="V92" si="53">V91/SUM($L$9:$W$9)*V90</f>
        <v>225.01409632054904</v>
      </c>
      <c r="W92" s="82">
        <f t="shared" ref="W92" si="54">W91/SUM($L$9:$W$9)*W90</f>
        <v>248.39690409555388</v>
      </c>
    </row>
    <row r="93" spans="2:23" x14ac:dyDescent="0.5">
      <c r="B93" s="2" t="s">
        <v>17</v>
      </c>
      <c r="F93" s="62" t="s">
        <v>31</v>
      </c>
      <c r="L93" s="55"/>
      <c r="M93" s="83">
        <f>M92-L92-M88</f>
        <v>0</v>
      </c>
      <c r="N93" s="83">
        <f t="shared" ref="N93:W93" si="55">N92-M92-N88</f>
        <v>0</v>
      </c>
      <c r="O93" s="83">
        <f t="shared" si="55"/>
        <v>0</v>
      </c>
      <c r="P93" s="83">
        <f t="shared" si="55"/>
        <v>0</v>
      </c>
      <c r="Q93" s="83">
        <f t="shared" si="55"/>
        <v>0</v>
      </c>
      <c r="R93" s="83">
        <f t="shared" si="55"/>
        <v>0</v>
      </c>
      <c r="S93" s="83">
        <f t="shared" si="55"/>
        <v>0</v>
      </c>
      <c r="T93" s="83">
        <f t="shared" si="55"/>
        <v>0</v>
      </c>
      <c r="U93" s="83">
        <f t="shared" si="55"/>
        <v>0</v>
      </c>
      <c r="V93" s="83">
        <f t="shared" si="55"/>
        <v>0</v>
      </c>
      <c r="W93" s="83">
        <f t="shared" si="55"/>
        <v>0</v>
      </c>
    </row>
    <row r="95" spans="2:23" x14ac:dyDescent="0.5">
      <c r="B95" s="70" t="s">
        <v>216</v>
      </c>
      <c r="C95" s="71"/>
      <c r="D95" s="71"/>
      <c r="E95" s="71"/>
      <c r="F95" s="72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</row>
    <row r="97" spans="1:23" x14ac:dyDescent="0.5">
      <c r="B97" s="77" t="s">
        <v>217</v>
      </c>
    </row>
    <row r="98" spans="1:23" x14ac:dyDescent="0.5">
      <c r="B98" s="2" t="s">
        <v>39</v>
      </c>
      <c r="F98" s="62" t="s">
        <v>31</v>
      </c>
      <c r="L98" s="75">
        <f>K101</f>
        <v>0</v>
      </c>
      <c r="M98" s="75">
        <f t="shared" ref="M98:W98" si="56">L101</f>
        <v>-6189.8114219939116</v>
      </c>
      <c r="N98" s="75">
        <f t="shared" si="56"/>
        <v>-6537.8516860300224</v>
      </c>
      <c r="O98" s="75">
        <f t="shared" si="56"/>
        <v>-6946.4710293097478</v>
      </c>
      <c r="P98" s="75">
        <f t="shared" si="56"/>
        <v>-7419.5250099322766</v>
      </c>
      <c r="Q98" s="75">
        <f t="shared" si="56"/>
        <v>-7961.2358704971539</v>
      </c>
      <c r="R98" s="75">
        <f t="shared" si="56"/>
        <v>-8576.2203700676801</v>
      </c>
      <c r="S98" s="75">
        <f t="shared" si="56"/>
        <v>-9269.5198576995354</v>
      </c>
      <c r="T98" s="75">
        <f t="shared" si="56"/>
        <v>-10046.63275626151</v>
      </c>
      <c r="U98" s="75">
        <f t="shared" si="56"/>
        <v>-10913.549638118897</v>
      </c>
      <c r="V98" s="75">
        <f t="shared" si="56"/>
        <v>-11876.79108804188</v>
      </c>
      <c r="W98" s="75">
        <f t="shared" si="56"/>
        <v>-12943.448563511096</v>
      </c>
    </row>
    <row r="99" spans="1:23" x14ac:dyDescent="0.5">
      <c r="B99" s="2" t="s">
        <v>65</v>
      </c>
      <c r="F99" s="62" t="s">
        <v>31</v>
      </c>
      <c r="H99" s="61">
        <f>INP!H44</f>
        <v>-5898.8356164383558</v>
      </c>
      <c r="L99" s="75">
        <f t="shared" ref="L99:W99" si="57">$H99*L60</f>
        <v>-5898.8356164383558</v>
      </c>
      <c r="M99" s="75">
        <f t="shared" si="57"/>
        <v>0</v>
      </c>
      <c r="N99" s="75">
        <f t="shared" si="57"/>
        <v>0</v>
      </c>
      <c r="O99" s="75">
        <f t="shared" si="57"/>
        <v>0</v>
      </c>
      <c r="P99" s="75">
        <f t="shared" si="57"/>
        <v>0</v>
      </c>
      <c r="Q99" s="75">
        <f t="shared" si="57"/>
        <v>0</v>
      </c>
      <c r="R99" s="75">
        <f t="shared" si="57"/>
        <v>0</v>
      </c>
      <c r="S99" s="75">
        <f t="shared" si="57"/>
        <v>0</v>
      </c>
      <c r="T99" s="75">
        <f t="shared" si="57"/>
        <v>0</v>
      </c>
      <c r="U99" s="75">
        <f t="shared" si="57"/>
        <v>0</v>
      </c>
      <c r="V99" s="75">
        <f t="shared" si="57"/>
        <v>0</v>
      </c>
      <c r="W99" s="75">
        <f t="shared" si="57"/>
        <v>0</v>
      </c>
    </row>
    <row r="100" spans="1:23" x14ac:dyDescent="0.5">
      <c r="B100" s="2" t="s">
        <v>91</v>
      </c>
      <c r="F100" s="62" t="s">
        <v>31</v>
      </c>
      <c r="L100" s="75">
        <f t="shared" ref="L100:W100" si="58">L30</f>
        <v>-290.97580555555555</v>
      </c>
      <c r="M100" s="75">
        <f t="shared" si="58"/>
        <v>-348.04026403611107</v>
      </c>
      <c r="N100" s="75">
        <f t="shared" si="58"/>
        <v>-408.61934327972534</v>
      </c>
      <c r="O100" s="75">
        <f t="shared" si="58"/>
        <v>-473.05398062252874</v>
      </c>
      <c r="P100" s="75">
        <f t="shared" si="58"/>
        <v>-541.71086056487741</v>
      </c>
      <c r="Q100" s="75">
        <f t="shared" si="58"/>
        <v>-614.98449957052617</v>
      </c>
      <c r="R100" s="75">
        <f t="shared" si="58"/>
        <v>-693.2994876318553</v>
      </c>
      <c r="S100" s="75">
        <f t="shared" si="58"/>
        <v>-777.11289856197413</v>
      </c>
      <c r="T100" s="75">
        <f t="shared" si="58"/>
        <v>-866.91688185738781</v>
      </c>
      <c r="U100" s="75">
        <f t="shared" si="58"/>
        <v>-963.24144992298432</v>
      </c>
      <c r="V100" s="75">
        <f t="shared" si="58"/>
        <v>-1066.6574754692158</v>
      </c>
      <c r="W100" s="75">
        <f t="shared" si="58"/>
        <v>-1177.7799149845027</v>
      </c>
    </row>
    <row r="101" spans="1:23" x14ac:dyDescent="0.5">
      <c r="B101" s="80" t="s">
        <v>185</v>
      </c>
      <c r="C101" s="80"/>
      <c r="D101" s="80"/>
      <c r="E101" s="80"/>
      <c r="F101" s="81" t="s">
        <v>31</v>
      </c>
      <c r="G101" s="80"/>
      <c r="H101" s="80"/>
      <c r="I101" s="80"/>
      <c r="J101" s="80"/>
      <c r="K101" s="80"/>
      <c r="L101" s="82">
        <f>SUM(L98:L100)</f>
        <v>-6189.8114219939116</v>
      </c>
      <c r="M101" s="82">
        <f t="shared" ref="M101:W101" si="59">SUM(M98:M100)</f>
        <v>-6537.8516860300224</v>
      </c>
      <c r="N101" s="82">
        <f t="shared" si="59"/>
        <v>-6946.4710293097478</v>
      </c>
      <c r="O101" s="82">
        <f t="shared" si="59"/>
        <v>-7419.5250099322766</v>
      </c>
      <c r="P101" s="82">
        <f t="shared" si="59"/>
        <v>-7961.2358704971539</v>
      </c>
      <c r="Q101" s="82">
        <f t="shared" si="59"/>
        <v>-8576.2203700676801</v>
      </c>
      <c r="R101" s="82">
        <f t="shared" si="59"/>
        <v>-9269.5198576995354</v>
      </c>
      <c r="S101" s="82">
        <f t="shared" si="59"/>
        <v>-10046.63275626151</v>
      </c>
      <c r="T101" s="82">
        <f t="shared" si="59"/>
        <v>-10913.549638118897</v>
      </c>
      <c r="U101" s="82">
        <f t="shared" si="59"/>
        <v>-11876.79108804188</v>
      </c>
      <c r="V101" s="82">
        <f t="shared" si="59"/>
        <v>-12943.448563511096</v>
      </c>
      <c r="W101" s="82">
        <f t="shared" si="59"/>
        <v>-14121.228478495599</v>
      </c>
    </row>
    <row r="103" spans="1:23" s="7" customFormat="1" ht="14.4" x14ac:dyDescent="0.55000000000000004">
      <c r="A103" s="163" t="s">
        <v>0</v>
      </c>
      <c r="B103" s="164" t="s">
        <v>180</v>
      </c>
      <c r="C103" s="49"/>
      <c r="D103" s="49"/>
      <c r="E103" s="49"/>
      <c r="F103" s="50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33477-3C2B-4BBE-81EC-E45793832DBD}">
  <sheetPr>
    <tabColor theme="0"/>
  </sheetPr>
  <dimension ref="A1:W88"/>
  <sheetViews>
    <sheetView showGridLines="0" zoomScale="85" zoomScaleNormal="85" workbookViewId="0">
      <pane xSplit="11" ySplit="11" topLeftCell="L12" activePane="bottomRight" state="frozen"/>
      <selection activeCell="H7" sqref="H7"/>
      <selection pane="topRight" activeCell="H7" sqref="H7"/>
      <selection pane="bottomLeft" activeCell="H7" sqref="H7"/>
      <selection pane="bottomRight"/>
    </sheetView>
  </sheetViews>
  <sheetFormatPr defaultColWidth="9.3125" defaultRowHeight="12.9" x14ac:dyDescent="0.5"/>
  <cols>
    <col min="1" max="1" width="2.578125" style="2" customWidth="1"/>
    <col min="2" max="5" width="9.3125" style="2"/>
    <col min="6" max="6" width="9.3125" style="62"/>
    <col min="7" max="16384" width="9.3125" style="2"/>
  </cols>
  <sheetData>
    <row r="1" spans="1:23" ht="6" customHeight="1" thickBot="1" x14ac:dyDescent="0.55000000000000004">
      <c r="B1" s="192"/>
      <c r="C1" s="192"/>
      <c r="D1" s="192"/>
      <c r="E1" s="192"/>
      <c r="F1" s="193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</row>
    <row r="2" spans="1:23" s="177" customFormat="1" ht="3" customHeight="1" x14ac:dyDescent="0.55000000000000004">
      <c r="A2" s="176"/>
      <c r="F2" s="178"/>
    </row>
    <row r="3" spans="1:23" s="177" customFormat="1" ht="15.6" x14ac:dyDescent="0.55000000000000004">
      <c r="A3" s="176"/>
      <c r="B3" s="194" t="s">
        <v>160</v>
      </c>
    </row>
    <row r="4" spans="1:23" s="177" customFormat="1" ht="14.4" x14ac:dyDescent="0.55000000000000004">
      <c r="A4" s="176"/>
      <c r="B4" s="179" t="s">
        <v>92</v>
      </c>
    </row>
    <row r="5" spans="1:23" s="177" customFormat="1" ht="3" customHeight="1" x14ac:dyDescent="0.55000000000000004">
      <c r="A5" s="176"/>
      <c r="F5" s="178"/>
    </row>
    <row r="6" spans="1:23" s="181" customFormat="1" x14ac:dyDescent="0.5">
      <c r="A6" s="180"/>
      <c r="B6" s="181" t="s">
        <v>6</v>
      </c>
      <c r="F6" s="182"/>
      <c r="L6" s="183">
        <f>INP!L77</f>
        <v>46053</v>
      </c>
      <c r="M6" s="183">
        <f>INP!M77</f>
        <v>46081</v>
      </c>
      <c r="N6" s="183">
        <f>INP!N77</f>
        <v>46112</v>
      </c>
      <c r="O6" s="183">
        <f>INP!O77</f>
        <v>46142</v>
      </c>
      <c r="P6" s="183">
        <f>INP!P77</f>
        <v>46173</v>
      </c>
      <c r="Q6" s="183">
        <f>INP!Q77</f>
        <v>46203</v>
      </c>
      <c r="R6" s="183">
        <f>INP!R77</f>
        <v>46234</v>
      </c>
      <c r="S6" s="183">
        <f>INP!S77</f>
        <v>46265</v>
      </c>
      <c r="T6" s="183">
        <f>INP!T77</f>
        <v>46295</v>
      </c>
      <c r="U6" s="183">
        <f>INP!U77</f>
        <v>46326</v>
      </c>
      <c r="V6" s="183">
        <f>INP!V77</f>
        <v>46356</v>
      </c>
      <c r="W6" s="183">
        <f>INP!W77</f>
        <v>46387</v>
      </c>
    </row>
    <row r="7" spans="1:23" s="177" customFormat="1" x14ac:dyDescent="0.5">
      <c r="A7" s="176"/>
      <c r="B7" s="177" t="s">
        <v>7</v>
      </c>
      <c r="F7" s="178"/>
      <c r="L7" s="184">
        <f>INP!L78</f>
        <v>46023</v>
      </c>
      <c r="M7" s="184">
        <f>INP!M78</f>
        <v>46054</v>
      </c>
      <c r="N7" s="184">
        <f>INP!N78</f>
        <v>46082</v>
      </c>
      <c r="O7" s="184">
        <f>INP!O78</f>
        <v>46113</v>
      </c>
      <c r="P7" s="184">
        <f>INP!P78</f>
        <v>46143</v>
      </c>
      <c r="Q7" s="184">
        <f>INP!Q78</f>
        <v>46174</v>
      </c>
      <c r="R7" s="184">
        <f>INP!R78</f>
        <v>46204</v>
      </c>
      <c r="S7" s="184">
        <f>INP!S78</f>
        <v>46235</v>
      </c>
      <c r="T7" s="184">
        <f>INP!T78</f>
        <v>46266</v>
      </c>
      <c r="U7" s="184">
        <f>INP!U78</f>
        <v>46296</v>
      </c>
      <c r="V7" s="184">
        <f>INP!V78</f>
        <v>46327</v>
      </c>
      <c r="W7" s="184">
        <f>INP!W78</f>
        <v>46357</v>
      </c>
    </row>
    <row r="8" spans="1:23" s="177" customFormat="1" x14ac:dyDescent="0.5">
      <c r="A8" s="176"/>
      <c r="B8" s="177" t="s">
        <v>8</v>
      </c>
      <c r="F8" s="178"/>
      <c r="L8" s="185">
        <f>INP!L79</f>
        <v>2026</v>
      </c>
      <c r="M8" s="185">
        <f>INP!M79</f>
        <v>2026</v>
      </c>
      <c r="N8" s="185">
        <f>INP!N79</f>
        <v>2026</v>
      </c>
      <c r="O8" s="185">
        <f>INP!O79</f>
        <v>2026</v>
      </c>
      <c r="P8" s="185">
        <f>INP!P79</f>
        <v>2026</v>
      </c>
      <c r="Q8" s="185">
        <f>INP!Q79</f>
        <v>2026</v>
      </c>
      <c r="R8" s="185">
        <f>INP!R79</f>
        <v>2026</v>
      </c>
      <c r="S8" s="185">
        <f>INP!S79</f>
        <v>2026</v>
      </c>
      <c r="T8" s="185">
        <f>INP!T79</f>
        <v>2026</v>
      </c>
      <c r="U8" s="185">
        <f>INP!U79</f>
        <v>2026</v>
      </c>
      <c r="V8" s="185">
        <f>INP!V79</f>
        <v>2026</v>
      </c>
      <c r="W8" s="185">
        <f>INP!W79</f>
        <v>2026</v>
      </c>
    </row>
    <row r="9" spans="1:23" s="177" customFormat="1" x14ac:dyDescent="0.5">
      <c r="A9" s="176"/>
      <c r="B9" s="177" t="s">
        <v>9</v>
      </c>
      <c r="F9" s="186" t="s">
        <v>3</v>
      </c>
      <c r="G9" s="187"/>
      <c r="H9" s="186" t="s">
        <v>4</v>
      </c>
      <c r="I9" s="186" t="s">
        <v>10</v>
      </c>
      <c r="J9" s="186" t="s">
        <v>11</v>
      </c>
      <c r="K9" s="186" t="s">
        <v>183</v>
      </c>
      <c r="L9" s="185">
        <f>INP!L80</f>
        <v>31</v>
      </c>
      <c r="M9" s="185">
        <f>INP!M80</f>
        <v>28</v>
      </c>
      <c r="N9" s="185">
        <f>INP!N80</f>
        <v>31</v>
      </c>
      <c r="O9" s="185">
        <f>INP!O80</f>
        <v>30</v>
      </c>
      <c r="P9" s="185">
        <f>INP!P80</f>
        <v>31</v>
      </c>
      <c r="Q9" s="185">
        <f>INP!Q80</f>
        <v>30</v>
      </c>
      <c r="R9" s="185">
        <f>INP!R80</f>
        <v>31</v>
      </c>
      <c r="S9" s="185">
        <f>INP!S80</f>
        <v>31</v>
      </c>
      <c r="T9" s="185">
        <f>INP!T80</f>
        <v>30</v>
      </c>
      <c r="U9" s="185">
        <f>INP!U80</f>
        <v>31</v>
      </c>
      <c r="V9" s="185">
        <f>INP!V80</f>
        <v>30</v>
      </c>
      <c r="W9" s="185">
        <f>INP!W80</f>
        <v>31</v>
      </c>
    </row>
    <row r="10" spans="1:23" s="177" customFormat="1" ht="3" customHeight="1" thickBot="1" x14ac:dyDescent="0.6">
      <c r="A10" s="188"/>
      <c r="B10" s="189"/>
      <c r="C10" s="190"/>
      <c r="D10" s="190"/>
      <c r="E10" s="190"/>
      <c r="F10" s="191"/>
      <c r="G10" s="190"/>
      <c r="H10" s="190"/>
      <c r="I10" s="190"/>
      <c r="J10" s="190"/>
      <c r="K10" s="190"/>
      <c r="L10" s="190"/>
      <c r="M10" s="190"/>
      <c r="N10" s="190"/>
      <c r="O10" s="190"/>
      <c r="P10" s="190"/>
      <c r="Q10" s="190"/>
      <c r="R10" s="190"/>
      <c r="S10" s="190"/>
      <c r="T10" s="190"/>
      <c r="U10" s="190"/>
      <c r="V10" s="190"/>
      <c r="W10" s="190"/>
    </row>
    <row r="11" spans="1:23" s="7" customFormat="1" ht="3" customHeight="1" x14ac:dyDescent="0.55000000000000004">
      <c r="A11" s="6"/>
      <c r="F11" s="8"/>
    </row>
    <row r="12" spans="1:23" s="7" customFormat="1" ht="3" customHeight="1" x14ac:dyDescent="0.55000000000000004">
      <c r="A12" s="6"/>
      <c r="F12" s="8"/>
    </row>
    <row r="13" spans="1:23" s="7" customFormat="1" ht="14.4" x14ac:dyDescent="0.55000000000000004">
      <c r="A13" s="163" t="s">
        <v>0</v>
      </c>
      <c r="B13" s="198" t="s">
        <v>218</v>
      </c>
      <c r="C13" s="202"/>
      <c r="D13" s="202"/>
      <c r="E13" s="202"/>
      <c r="F13" s="203"/>
      <c r="G13" s="202"/>
      <c r="H13" s="202"/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</row>
    <row r="14" spans="1:23" s="7" customFormat="1" ht="14.4" x14ac:dyDescent="0.55000000000000004">
      <c r="A14" s="167"/>
      <c r="B14" s="168"/>
      <c r="F14" s="8"/>
    </row>
    <row r="15" spans="1:23" s="7" customFormat="1" x14ac:dyDescent="0.55000000000000004">
      <c r="A15" s="6"/>
      <c r="B15" s="7" t="s">
        <v>93</v>
      </c>
      <c r="F15" s="8" t="s">
        <v>31</v>
      </c>
      <c r="L15" s="51">
        <f>-FIN_M!L20</f>
        <v>448.92899999999997</v>
      </c>
      <c r="M15" s="51">
        <f>-FIN_M!M20</f>
        <v>536.96296529999995</v>
      </c>
      <c r="N15" s="51">
        <f>-FIN_M!N20</f>
        <v>630.36119057210999</v>
      </c>
      <c r="O15" s="51">
        <f>-FIN_M!O20</f>
        <v>729.64707698815755</v>
      </c>
      <c r="P15" s="51">
        <f>-FIN_M!P20</f>
        <v>835.38343912176163</v>
      </c>
      <c r="Q15" s="51">
        <f>-FIN_M!Q20</f>
        <v>948.17569916963669</v>
      </c>
      <c r="R15" s="51">
        <f>-FIN_M!R20</f>
        <v>1068.675321141104</v>
      </c>
      <c r="S15" s="51">
        <f>-FIN_M!S20</f>
        <v>1197.5835033283308</v>
      </c>
      <c r="T15" s="51">
        <f>-FIN_M!T20</f>
        <v>1335.6551487209065</v>
      </c>
      <c r="U15" s="51">
        <f>-FIN_M!U20</f>
        <v>1483.7031344793227</v>
      </c>
      <c r="V15" s="51">
        <f>-FIN_M!V20</f>
        <v>1642.6029031400083</v>
      </c>
      <c r="W15" s="51">
        <f>-FIN_M!W20</f>
        <v>1813.2973998975435</v>
      </c>
    </row>
    <row r="16" spans="1:23" s="7" customFormat="1" x14ac:dyDescent="0.55000000000000004">
      <c r="A16" s="6"/>
      <c r="F16" s="8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7" spans="1:23" s="7" customFormat="1" x14ac:dyDescent="0.55000000000000004">
      <c r="A17" s="6"/>
      <c r="B17" s="7" t="s">
        <v>154</v>
      </c>
      <c r="F17" s="8" t="s">
        <v>31</v>
      </c>
      <c r="L17" s="51">
        <f>ARR_M!L117</f>
        <v>98</v>
      </c>
      <c r="M17" s="51">
        <f>ARR_M!M117</f>
        <v>101.47499999999999</v>
      </c>
      <c r="N17" s="51">
        <f>ARR_M!N117</f>
        <v>105.15875000000001</v>
      </c>
      <c r="O17" s="51">
        <f>ARR_M!O117</f>
        <v>109.0647075</v>
      </c>
      <c r="P17" s="51">
        <f>ARR_M!P117</f>
        <v>113.20722807500002</v>
      </c>
      <c r="Q17" s="51">
        <f>ARR_M!Q117</f>
        <v>117.60162650475002</v>
      </c>
      <c r="R17" s="51">
        <f>ARR_M!R117</f>
        <v>122.26424211338754</v>
      </c>
      <c r="S17" s="51">
        <f>ARR_M!S117</f>
        <v>127.2125086108891</v>
      </c>
      <c r="T17" s="51">
        <f>ARR_M!T117</f>
        <v>132.46502874858689</v>
      </c>
      <c r="U17" s="51">
        <f>ARR_M!U117</f>
        <v>138.04165412274335</v>
      </c>
      <c r="V17" s="51">
        <f>ARR_M!V117</f>
        <v>143.96357048343765</v>
      </c>
      <c r="W17" s="51">
        <f>ARR_M!W117</f>
        <v>150.25338893089997</v>
      </c>
    </row>
    <row r="18" spans="1:23" s="7" customFormat="1" x14ac:dyDescent="0.55000000000000004">
      <c r="A18" s="6"/>
      <c r="B18" s="7" t="s">
        <v>94</v>
      </c>
      <c r="F18" s="8" t="s">
        <v>31</v>
      </c>
      <c r="L18" s="51">
        <f>ARR_M!L123</f>
        <v>0</v>
      </c>
      <c r="M18" s="51">
        <f>ARR_M!M123</f>
        <v>12.335900000000006</v>
      </c>
      <c r="N18" s="51">
        <f>ARR_M!N123</f>
        <v>16.470913130000042</v>
      </c>
      <c r="O18" s="51">
        <f>ARR_M!O123</f>
        <v>21.02564573215103</v>
      </c>
      <c r="P18" s="51">
        <f>ARR_M!P123</f>
        <v>26.037235170915693</v>
      </c>
      <c r="Q18" s="51">
        <f>ARR_M!Q123</f>
        <v>31.545868366464244</v>
      </c>
      <c r="R18" s="51">
        <f>ARR_M!R123</f>
        <v>37.595023894737011</v>
      </c>
      <c r="S18" s="51">
        <f>ARR_M!S123</f>
        <v>44.231732752455081</v>
      </c>
      <c r="T18" s="51">
        <f>ARR_M!T123</f>
        <v>51.50685919937461</v>
      </c>
      <c r="U18" s="51">
        <f>ARR_M!U123</f>
        <v>59.475403195258735</v>
      </c>
      <c r="V18" s="51">
        <f>ARR_M!V123</f>
        <v>68.196826061959527</v>
      </c>
      <c r="W18" s="51">
        <f>ARR_M!W123</f>
        <v>77.735401122231437</v>
      </c>
    </row>
    <row r="19" spans="1:23" s="7" customFormat="1" ht="14.4" x14ac:dyDescent="0.55000000000000004">
      <c r="A19" s="167"/>
      <c r="B19" s="168" t="s">
        <v>95</v>
      </c>
      <c r="F19" s="8" t="s">
        <v>16</v>
      </c>
      <c r="L19" s="66">
        <f>FIN_M!L19</f>
        <v>0.82</v>
      </c>
      <c r="M19" s="66">
        <f>FIN_M!M19</f>
        <v>0.82000000000000006</v>
      </c>
      <c r="N19" s="66">
        <f>FIN_M!N19</f>
        <v>0.82</v>
      </c>
      <c r="O19" s="66">
        <f>FIN_M!O19</f>
        <v>0.82000000000000006</v>
      </c>
      <c r="P19" s="66">
        <f>FIN_M!P19</f>
        <v>0.82</v>
      </c>
      <c r="Q19" s="66">
        <f>FIN_M!Q19</f>
        <v>0.82000000000000006</v>
      </c>
      <c r="R19" s="66">
        <f>FIN_M!R19</f>
        <v>0.82</v>
      </c>
      <c r="S19" s="66">
        <f>FIN_M!S19</f>
        <v>0.82000000000000006</v>
      </c>
      <c r="T19" s="66">
        <f>FIN_M!T19</f>
        <v>0.82000000000000006</v>
      </c>
      <c r="U19" s="66">
        <f>FIN_M!U19</f>
        <v>0.82</v>
      </c>
      <c r="V19" s="66">
        <f>FIN_M!V19</f>
        <v>0.82</v>
      </c>
      <c r="W19" s="66">
        <f>FIN_M!W19</f>
        <v>0.82000000000000006</v>
      </c>
    </row>
    <row r="20" spans="1:23" s="7" customFormat="1" x14ac:dyDescent="0.55000000000000004">
      <c r="A20" s="6"/>
      <c r="B20" s="43" t="s">
        <v>219</v>
      </c>
      <c r="C20" s="43"/>
      <c r="D20" s="43"/>
      <c r="E20" s="43"/>
      <c r="F20" s="57" t="s">
        <v>31</v>
      </c>
      <c r="G20" s="43"/>
      <c r="H20" s="43"/>
      <c r="I20" s="43"/>
      <c r="J20" s="43"/>
      <c r="K20" s="43"/>
      <c r="L20" s="58">
        <f t="shared" ref="L20" si="0">SUM(L17:L18)*L19</f>
        <v>80.36</v>
      </c>
      <c r="M20" s="58">
        <f t="shared" ref="M20:W20" si="1">SUM(M17:M18)*M19</f>
        <v>93.324938000000003</v>
      </c>
      <c r="N20" s="58">
        <f t="shared" si="1"/>
        <v>99.736323766600037</v>
      </c>
      <c r="O20" s="58">
        <f t="shared" si="1"/>
        <v>106.67408965036384</v>
      </c>
      <c r="P20" s="58">
        <f t="shared" si="1"/>
        <v>114.18045986165087</v>
      </c>
      <c r="Q20" s="58">
        <f t="shared" si="1"/>
        <v>122.3009457943957</v>
      </c>
      <c r="R20" s="58">
        <f t="shared" si="1"/>
        <v>131.08459812666214</v>
      </c>
      <c r="S20" s="58">
        <f t="shared" si="1"/>
        <v>140.58427791794225</v>
      </c>
      <c r="T20" s="58">
        <f t="shared" si="1"/>
        <v>150.85694811732844</v>
      </c>
      <c r="U20" s="58">
        <f t="shared" si="1"/>
        <v>161.9639870007617</v>
      </c>
      <c r="V20" s="58">
        <f t="shared" si="1"/>
        <v>173.97152516722568</v>
      </c>
      <c r="W20" s="58">
        <f t="shared" si="1"/>
        <v>186.95080784356779</v>
      </c>
    </row>
    <row r="21" spans="1:23" s="7" customFormat="1" x14ac:dyDescent="0.55000000000000004">
      <c r="A21" s="6"/>
      <c r="F21" s="8"/>
    </row>
    <row r="22" spans="1:23" s="7" customFormat="1" x14ac:dyDescent="0.55000000000000004">
      <c r="A22" s="6"/>
      <c r="B22" s="7" t="s">
        <v>93</v>
      </c>
      <c r="F22" s="8" t="s">
        <v>31</v>
      </c>
      <c r="L22" s="11">
        <f>L15</f>
        <v>448.92899999999997</v>
      </c>
      <c r="M22" s="11">
        <f t="shared" ref="M22:W22" si="2">M15</f>
        <v>536.96296529999995</v>
      </c>
      <c r="N22" s="11">
        <f t="shared" si="2"/>
        <v>630.36119057210999</v>
      </c>
      <c r="O22" s="11">
        <f t="shared" si="2"/>
        <v>729.64707698815755</v>
      </c>
      <c r="P22" s="11">
        <f t="shared" si="2"/>
        <v>835.38343912176163</v>
      </c>
      <c r="Q22" s="11">
        <f t="shared" si="2"/>
        <v>948.17569916963669</v>
      </c>
      <c r="R22" s="11">
        <f t="shared" si="2"/>
        <v>1068.675321141104</v>
      </c>
      <c r="S22" s="11">
        <f t="shared" si="2"/>
        <v>1197.5835033283308</v>
      </c>
      <c r="T22" s="11">
        <f t="shared" si="2"/>
        <v>1335.6551487209065</v>
      </c>
      <c r="U22" s="11">
        <f t="shared" si="2"/>
        <v>1483.7031344793227</v>
      </c>
      <c r="V22" s="11">
        <f t="shared" si="2"/>
        <v>1642.6029031400083</v>
      </c>
      <c r="W22" s="11">
        <f t="shared" si="2"/>
        <v>1813.2973998975435</v>
      </c>
    </row>
    <row r="23" spans="1:23" s="7" customFormat="1" x14ac:dyDescent="0.55000000000000004">
      <c r="A23" s="6"/>
      <c r="B23" s="7" t="s">
        <v>96</v>
      </c>
      <c r="F23" s="8" t="s">
        <v>31</v>
      </c>
      <c r="L23" s="11">
        <f t="shared" ref="L23" si="3">L20</f>
        <v>80.36</v>
      </c>
      <c r="M23" s="11">
        <f t="shared" ref="M23:W23" si="4">M20</f>
        <v>93.324938000000003</v>
      </c>
      <c r="N23" s="11">
        <f t="shared" si="4"/>
        <v>99.736323766600037</v>
      </c>
      <c r="O23" s="11">
        <f t="shared" si="4"/>
        <v>106.67408965036384</v>
      </c>
      <c r="P23" s="11">
        <f t="shared" si="4"/>
        <v>114.18045986165087</v>
      </c>
      <c r="Q23" s="11">
        <f t="shared" si="4"/>
        <v>122.3009457943957</v>
      </c>
      <c r="R23" s="11">
        <f t="shared" si="4"/>
        <v>131.08459812666214</v>
      </c>
      <c r="S23" s="11">
        <f t="shared" si="4"/>
        <v>140.58427791794225</v>
      </c>
      <c r="T23" s="11">
        <f t="shared" si="4"/>
        <v>150.85694811732844</v>
      </c>
      <c r="U23" s="11">
        <f t="shared" si="4"/>
        <v>161.9639870007617</v>
      </c>
      <c r="V23" s="11">
        <f t="shared" si="4"/>
        <v>173.97152516722568</v>
      </c>
      <c r="W23" s="11">
        <f t="shared" si="4"/>
        <v>186.95080784356779</v>
      </c>
    </row>
    <row r="24" spans="1:23" s="7" customFormat="1" x14ac:dyDescent="0.55000000000000004">
      <c r="A24" s="6"/>
      <c r="B24" s="43" t="s">
        <v>218</v>
      </c>
      <c r="C24" s="43"/>
      <c r="D24" s="43"/>
      <c r="E24" s="43"/>
      <c r="F24" s="57" t="s">
        <v>100</v>
      </c>
      <c r="G24" s="43"/>
      <c r="H24" s="43"/>
      <c r="I24" s="43"/>
      <c r="J24" s="43"/>
      <c r="K24" s="43"/>
      <c r="L24" s="67">
        <f t="shared" ref="L24" si="5">L22/L23</f>
        <v>5.5864733698357387</v>
      </c>
      <c r="M24" s="67">
        <f t="shared" ref="M24:W24" si="6">M22/M23</f>
        <v>5.7536921728252306</v>
      </c>
      <c r="N24" s="67">
        <f t="shared" si="6"/>
        <v>6.3202769739865525</v>
      </c>
      <c r="O24" s="67">
        <f t="shared" si="6"/>
        <v>6.8399653503456816</v>
      </c>
      <c r="P24" s="67">
        <f t="shared" si="6"/>
        <v>7.3163432704157199</v>
      </c>
      <c r="Q24" s="67">
        <f t="shared" si="6"/>
        <v>7.7528075765141446</v>
      </c>
      <c r="R24" s="67">
        <f t="shared" si="6"/>
        <v>8.1525620584996794</v>
      </c>
      <c r="S24" s="67">
        <f t="shared" si="6"/>
        <v>8.5186161714850464</v>
      </c>
      <c r="T24" s="67">
        <f t="shared" si="6"/>
        <v>8.8537860893361415</v>
      </c>
      <c r="U24" s="67">
        <f t="shared" si="6"/>
        <v>9.1606977696365615</v>
      </c>
      <c r="V24" s="67">
        <f t="shared" si="6"/>
        <v>9.4417917044820889</v>
      </c>
      <c r="W24" s="67">
        <f t="shared" si="6"/>
        <v>9.6993290417596434</v>
      </c>
    </row>
    <row r="25" spans="1:23" s="7" customFormat="1" x14ac:dyDescent="0.55000000000000004">
      <c r="A25" s="6"/>
      <c r="F25" s="8"/>
    </row>
    <row r="26" spans="1:23" s="7" customFormat="1" x14ac:dyDescent="0.55000000000000004">
      <c r="A26" s="6"/>
      <c r="B26" s="7" t="s">
        <v>105</v>
      </c>
      <c r="F26" s="8" t="s">
        <v>16</v>
      </c>
      <c r="L26" s="66">
        <f>-ARR_M!L67/ARR_M!L55</f>
        <v>4.4666666666666667E-2</v>
      </c>
      <c r="M26" s="66">
        <f>-ARR_M!M67/ARR_M!M55</f>
        <v>4.3476147067760561E-2</v>
      </c>
      <c r="N26" s="66">
        <f>-ARR_M!N67/ARR_M!N55</f>
        <v>4.2485082229660895E-2</v>
      </c>
      <c r="O26" s="66">
        <f>-ARR_M!O67/ARR_M!O55</f>
        <v>4.1642963583963306E-2</v>
      </c>
      <c r="P26" s="66">
        <f>-ARR_M!P67/ARR_M!P55</f>
        <v>4.0915122444909892E-2</v>
      </c>
      <c r="Q26" s="66">
        <f>-ARR_M!Q67/ARR_M!Q55</f>
        <v>4.0276971993084686E-2</v>
      </c>
      <c r="R26" s="66">
        <f>-ARR_M!R67/ARR_M!R55</f>
        <v>3.9710590608619888E-2</v>
      </c>
      <c r="S26" s="66">
        <f>-ARR_M!S67/ARR_M!S55</f>
        <v>3.9202606333760687E-2</v>
      </c>
      <c r="T26" s="66">
        <f>-ARR_M!T67/ARR_M!T55</f>
        <v>3.8742838895830502E-2</v>
      </c>
      <c r="U26" s="66">
        <f>-ARR_M!U67/ARR_M!U55</f>
        <v>3.8323400631151382E-2</v>
      </c>
      <c r="V26" s="66">
        <f>-ARR_M!V67/ARR_M!V55</f>
        <v>3.7938085039422975E-2</v>
      </c>
      <c r="W26" s="66">
        <f>-ARR_M!W67/ARR_M!W55</f>
        <v>3.7581941053232606E-2</v>
      </c>
    </row>
    <row r="27" spans="1:23" s="7" customFormat="1" x14ac:dyDescent="0.55000000000000004">
      <c r="A27" s="6"/>
      <c r="B27" s="7" t="s">
        <v>104</v>
      </c>
      <c r="F27" s="8" t="s">
        <v>100</v>
      </c>
      <c r="L27" s="11">
        <f>1/L26</f>
        <v>22.388059701492537</v>
      </c>
      <c r="M27" s="11">
        <f t="shared" ref="M27:W27" si="7">1/M26</f>
        <v>23.001118255521387</v>
      </c>
      <c r="N27" s="11">
        <f t="shared" si="7"/>
        <v>23.53767363787404</v>
      </c>
      <c r="O27" s="11">
        <f t="shared" si="7"/>
        <v>24.01366074688065</v>
      </c>
      <c r="P27" s="11">
        <f t="shared" si="7"/>
        <v>24.440840946924908</v>
      </c>
      <c r="Q27" s="11">
        <f t="shared" si="7"/>
        <v>24.82808290980002</v>
      </c>
      <c r="R27" s="11">
        <f t="shared" si="7"/>
        <v>25.182199123045333</v>
      </c>
      <c r="S27" s="11">
        <f t="shared" si="7"/>
        <v>25.508508069240673</v>
      </c>
      <c r="T27" s="11">
        <f t="shared" si="7"/>
        <v>25.811221596041065</v>
      </c>
      <c r="U27" s="11">
        <f t="shared" si="7"/>
        <v>26.093717768541257</v>
      </c>
      <c r="V27" s="11">
        <f t="shared" si="7"/>
        <v>26.358736846123367</v>
      </c>
      <c r="W27" s="11">
        <f t="shared" si="7"/>
        <v>26.608524519357818</v>
      </c>
    </row>
    <row r="28" spans="1:23" s="7" customFormat="1" x14ac:dyDescent="0.55000000000000004">
      <c r="A28" s="6"/>
      <c r="B28" s="7" t="s">
        <v>106</v>
      </c>
      <c r="F28" s="68" t="s">
        <v>16</v>
      </c>
      <c r="L28" s="18">
        <f>L24/L27</f>
        <v>0.249529143852663</v>
      </c>
      <c r="M28" s="18">
        <f>M24/M27</f>
        <v>0.25014836708837251</v>
      </c>
      <c r="N28" s="18">
        <f t="shared" ref="N28:W28" si="8">N24/N27</f>
        <v>0.26851748695405098</v>
      </c>
      <c r="O28" s="18">
        <f t="shared" si="8"/>
        <v>0.28483642800001602</v>
      </c>
      <c r="P28" s="18">
        <f t="shared" si="8"/>
        <v>0.29934908075805167</v>
      </c>
      <c r="Q28" s="18">
        <f t="shared" si="8"/>
        <v>0.31225961362703497</v>
      </c>
      <c r="R28" s="18">
        <f t="shared" si="8"/>
        <v>0.32374305431644818</v>
      </c>
      <c r="S28" s="18">
        <f t="shared" si="8"/>
        <v>0.33395195627913588</v>
      </c>
      <c r="T28" s="18">
        <f t="shared" si="8"/>
        <v>0.34302080807729529</v>
      </c>
      <c r="U28" s="18">
        <f t="shared" si="8"/>
        <v>0.35106909068667685</v>
      </c>
      <c r="V28" s="18">
        <f t="shared" si="8"/>
        <v>0.35820349660915984</v>
      </c>
      <c r="W28" s="18">
        <f t="shared" si="8"/>
        <v>0.36451961230331803</v>
      </c>
    </row>
    <row r="29" spans="1:23" s="7" customFormat="1" x14ac:dyDescent="0.55000000000000004">
      <c r="A29" s="6"/>
      <c r="B29" s="7" t="s">
        <v>107</v>
      </c>
      <c r="F29" s="8" t="s">
        <v>19</v>
      </c>
      <c r="L29" s="69">
        <f>L27/L24</f>
        <v>4.0075479142847543</v>
      </c>
      <c r="M29" s="69">
        <f>M27/M24</f>
        <v>3.9976275345691925</v>
      </c>
      <c r="N29" s="69">
        <f t="shared" ref="N29:W29" si="9">N27/N24</f>
        <v>3.7241522380667935</v>
      </c>
      <c r="O29" s="69">
        <f t="shared" si="9"/>
        <v>3.5107868997709226</v>
      </c>
      <c r="P29" s="69">
        <f t="shared" si="9"/>
        <v>3.3405814959166289</v>
      </c>
      <c r="Q29" s="69">
        <f t="shared" si="9"/>
        <v>3.2024634514356598</v>
      </c>
      <c r="R29" s="69">
        <f t="shared" si="9"/>
        <v>3.0888693569392625</v>
      </c>
      <c r="S29" s="69">
        <f t="shared" si="9"/>
        <v>2.9944427070945006</v>
      </c>
      <c r="T29" s="69">
        <f t="shared" si="9"/>
        <v>2.9152750400339067</v>
      </c>
      <c r="U29" s="69">
        <f t="shared" si="9"/>
        <v>2.8484421628917564</v>
      </c>
      <c r="V29" s="69">
        <f t="shared" si="9"/>
        <v>2.7917092084980735</v>
      </c>
      <c r="W29" s="69">
        <f t="shared" si="9"/>
        <v>2.7433366168728845</v>
      </c>
    </row>
    <row r="30" spans="1:23" s="7" customFormat="1" x14ac:dyDescent="0.55000000000000004">
      <c r="A30" s="6"/>
      <c r="F30" s="8"/>
    </row>
    <row r="31" spans="1:23" s="7" customFormat="1" ht="14.4" x14ac:dyDescent="0.55000000000000004">
      <c r="A31" s="163" t="s">
        <v>0</v>
      </c>
      <c r="B31" s="198" t="s">
        <v>220</v>
      </c>
      <c r="C31" s="202"/>
      <c r="D31" s="202"/>
      <c r="E31" s="202"/>
      <c r="F31" s="203"/>
      <c r="G31" s="202"/>
      <c r="H31" s="202"/>
      <c r="I31" s="202"/>
      <c r="J31" s="202"/>
      <c r="K31" s="202"/>
      <c r="L31" s="202"/>
      <c r="M31" s="202"/>
      <c r="N31" s="202"/>
      <c r="O31" s="202"/>
      <c r="P31" s="202"/>
      <c r="Q31" s="202"/>
      <c r="R31" s="202"/>
      <c r="S31" s="202"/>
      <c r="T31" s="202"/>
      <c r="U31" s="202"/>
      <c r="V31" s="202"/>
      <c r="W31" s="202"/>
    </row>
    <row r="32" spans="1:23" s="7" customFormat="1" x14ac:dyDescent="0.55000000000000004">
      <c r="A32" s="6"/>
      <c r="F32" s="8"/>
    </row>
    <row r="33" spans="1:23" s="7" customFormat="1" x14ac:dyDescent="0.55000000000000004">
      <c r="A33" s="6"/>
      <c r="B33" s="3" t="s">
        <v>221</v>
      </c>
      <c r="F33" s="8"/>
    </row>
    <row r="34" spans="1:23" s="7" customFormat="1" x14ac:dyDescent="0.55000000000000004">
      <c r="A34" s="6"/>
      <c r="B34" s="7" t="s">
        <v>76</v>
      </c>
      <c r="F34" s="8" t="s">
        <v>31</v>
      </c>
      <c r="L34" s="51">
        <f>ARR_M!L111</f>
        <v>415</v>
      </c>
      <c r="M34" s="51">
        <f>ARR_M!M111</f>
        <v>498.80999999999995</v>
      </c>
      <c r="N34" s="51">
        <f>ARR_M!N111</f>
        <v>596.62551699999995</v>
      </c>
      <c r="O34" s="51">
        <f>ARR_M!O111</f>
        <v>700.40132285790003</v>
      </c>
      <c r="P34" s="51">
        <f>ARR_M!P111</f>
        <v>810.71897443128614</v>
      </c>
      <c r="Q34" s="51">
        <f>ARR_M!Q111</f>
        <v>928.20382124640173</v>
      </c>
      <c r="R34" s="51">
        <f>ARR_M!R111</f>
        <v>1053.5285546329296</v>
      </c>
      <c r="S34" s="51">
        <f>ARR_M!S111</f>
        <v>1187.4170234901155</v>
      </c>
      <c r="T34" s="51">
        <f>ARR_M!T111</f>
        <v>1330.6483370314786</v>
      </c>
      <c r="U34" s="51">
        <f>ARR_M!U111</f>
        <v>1484.0612763565628</v>
      </c>
      <c r="V34" s="51">
        <f>ARR_M!V111</f>
        <v>1648.5590383103586</v>
      </c>
      <c r="W34" s="51">
        <f>ARR_M!W111</f>
        <v>1825.1143368222313</v>
      </c>
    </row>
    <row r="35" spans="1:23" s="7" customFormat="1" x14ac:dyDescent="0.55000000000000004">
      <c r="A35" s="6"/>
      <c r="B35" s="7" t="s">
        <v>97</v>
      </c>
      <c r="F35" s="8" t="s">
        <v>31</v>
      </c>
      <c r="L35" s="51">
        <f>ARR_M!L129</f>
        <v>-14.19</v>
      </c>
      <c r="M35" s="51">
        <f>ARR_M!M129</f>
        <v>-15.995383</v>
      </c>
      <c r="N35" s="51">
        <f>ARR_M!N129</f>
        <v>-17.853857272100001</v>
      </c>
      <c r="O35" s="51">
        <f>ARR_M!O129</f>
        <v>-19.77270165876487</v>
      </c>
      <c r="P35" s="51">
        <f>ARR_M!P129</f>
        <v>-21.759616430800065</v>
      </c>
      <c r="Q35" s="51">
        <f>ARR_M!Q129</f>
        <v>-23.822761484686541</v>
      </c>
      <c r="R35" s="51">
        <f>ARR_M!R129</f>
        <v>-25.970797150938662</v>
      </c>
      <c r="S35" s="51">
        <f>ARR_M!S129</f>
        <v>-28.212927821980848</v>
      </c>
      <c r="T35" s="51">
        <f>ARR_M!T129</f>
        <v>-30.558948622877367</v>
      </c>
      <c r="U35" s="51">
        <f>ARR_M!U129</f>
        <v>-33.019295364206201</v>
      </c>
      <c r="V35" s="51">
        <f>ARR_M!V129</f>
        <v>-35.605098033524612</v>
      </c>
      <c r="W35" s="51">
        <f>ARR_M!W129</f>
        <v>-38.328238100314387</v>
      </c>
    </row>
    <row r="36" spans="1:23" s="7" customFormat="1" x14ac:dyDescent="0.55000000000000004">
      <c r="A36" s="6"/>
      <c r="B36" s="43" t="s">
        <v>222</v>
      </c>
      <c r="C36" s="43"/>
      <c r="D36" s="43"/>
      <c r="E36" s="43"/>
      <c r="F36" s="57" t="s">
        <v>31</v>
      </c>
      <c r="G36" s="43"/>
      <c r="H36" s="43"/>
      <c r="I36" s="43"/>
      <c r="J36" s="43"/>
      <c r="K36" s="43"/>
      <c r="L36" s="58">
        <f>SUM(L34:L35)</f>
        <v>400.81</v>
      </c>
      <c r="M36" s="58">
        <f t="shared" ref="M36:W36" si="10">SUM(M34:M35)</f>
        <v>482.81461699999994</v>
      </c>
      <c r="N36" s="58">
        <f t="shared" si="10"/>
        <v>578.77165972789999</v>
      </c>
      <c r="O36" s="58">
        <f t="shared" si="10"/>
        <v>680.62862119913518</v>
      </c>
      <c r="P36" s="58">
        <f t="shared" si="10"/>
        <v>788.95935800048608</v>
      </c>
      <c r="Q36" s="58">
        <f t="shared" si="10"/>
        <v>904.38105976171516</v>
      </c>
      <c r="R36" s="58">
        <f t="shared" si="10"/>
        <v>1027.5577574819911</v>
      </c>
      <c r="S36" s="58">
        <f t="shared" si="10"/>
        <v>1159.2040956681346</v>
      </c>
      <c r="T36" s="58">
        <f t="shared" si="10"/>
        <v>1300.0893884086013</v>
      </c>
      <c r="U36" s="58">
        <f t="shared" si="10"/>
        <v>1451.0419809923565</v>
      </c>
      <c r="V36" s="58">
        <f t="shared" si="10"/>
        <v>1612.9539402768339</v>
      </c>
      <c r="W36" s="58">
        <f t="shared" si="10"/>
        <v>1786.7860987219169</v>
      </c>
    </row>
    <row r="37" spans="1:23" s="7" customFormat="1" x14ac:dyDescent="0.55000000000000004">
      <c r="A37" s="6"/>
      <c r="F37" s="8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</row>
    <row r="38" spans="1:23" s="7" customFormat="1" x14ac:dyDescent="0.55000000000000004">
      <c r="A38" s="6"/>
      <c r="B38" s="43" t="s">
        <v>98</v>
      </c>
      <c r="C38" s="43"/>
      <c r="D38" s="43"/>
      <c r="E38" s="43"/>
      <c r="F38" s="57" t="s">
        <v>16</v>
      </c>
      <c r="G38" s="43"/>
      <c r="H38" s="43"/>
      <c r="I38" s="43"/>
      <c r="J38" s="43"/>
      <c r="K38" s="43"/>
      <c r="L38" s="45">
        <f>L36/L34</f>
        <v>0.96580722891566262</v>
      </c>
      <c r="M38" s="45">
        <f t="shared" ref="M38:W38" si="11">M36/M34</f>
        <v>0.96793291433611994</v>
      </c>
      <c r="N38" s="45">
        <f t="shared" si="11"/>
        <v>0.97007527039427655</v>
      </c>
      <c r="O38" s="45">
        <f t="shared" si="11"/>
        <v>0.97176946842692302</v>
      </c>
      <c r="P38" s="45">
        <f t="shared" si="11"/>
        <v>0.97316009971758177</v>
      </c>
      <c r="Q38" s="45">
        <f t="shared" si="11"/>
        <v>0.97433455784237444</v>
      </c>
      <c r="R38" s="45">
        <f t="shared" si="11"/>
        <v>0.97534874870099053</v>
      </c>
      <c r="S38" s="45">
        <f t="shared" si="11"/>
        <v>0.97624008476899204</v>
      </c>
      <c r="T38" s="45">
        <f t="shared" si="11"/>
        <v>0.97703454190530103</v>
      </c>
      <c r="U38" s="45">
        <f t="shared" si="11"/>
        <v>0.97775071967023486</v>
      </c>
      <c r="V38" s="45">
        <f t="shared" si="11"/>
        <v>0.97840229120940858</v>
      </c>
      <c r="W38" s="45">
        <f t="shared" si="11"/>
        <v>0.97899954138377487</v>
      </c>
    </row>
    <row r="39" spans="1:23" s="7" customFormat="1" x14ac:dyDescent="0.55000000000000004">
      <c r="A39" s="6"/>
      <c r="F39" s="8"/>
    </row>
    <row r="40" spans="1:23" s="7" customFormat="1" x14ac:dyDescent="0.55000000000000004">
      <c r="A40" s="6"/>
      <c r="B40" s="3" t="s">
        <v>224</v>
      </c>
      <c r="F40" s="8"/>
    </row>
    <row r="41" spans="1:23" s="7" customFormat="1" x14ac:dyDescent="0.55000000000000004">
      <c r="A41" s="6"/>
      <c r="B41" s="7" t="s">
        <v>76</v>
      </c>
      <c r="F41" s="8" t="s">
        <v>31</v>
      </c>
      <c r="L41" s="11">
        <f>L34</f>
        <v>415</v>
      </c>
      <c r="M41" s="11">
        <f t="shared" ref="M41:W41" si="12">M34</f>
        <v>498.80999999999995</v>
      </c>
      <c r="N41" s="11">
        <f t="shared" si="12"/>
        <v>596.62551699999995</v>
      </c>
      <c r="O41" s="11">
        <f t="shared" si="12"/>
        <v>700.40132285790003</v>
      </c>
      <c r="P41" s="11">
        <f t="shared" si="12"/>
        <v>810.71897443128614</v>
      </c>
      <c r="Q41" s="11">
        <f t="shared" si="12"/>
        <v>928.20382124640173</v>
      </c>
      <c r="R41" s="11">
        <f t="shared" si="12"/>
        <v>1053.5285546329296</v>
      </c>
      <c r="S41" s="11">
        <f t="shared" si="12"/>
        <v>1187.4170234901155</v>
      </c>
      <c r="T41" s="11">
        <f t="shared" si="12"/>
        <v>1330.6483370314786</v>
      </c>
      <c r="U41" s="11">
        <f t="shared" si="12"/>
        <v>1484.0612763565628</v>
      </c>
      <c r="V41" s="11">
        <f t="shared" si="12"/>
        <v>1648.5590383103586</v>
      </c>
      <c r="W41" s="11">
        <f t="shared" si="12"/>
        <v>1825.1143368222313</v>
      </c>
    </row>
    <row r="42" spans="1:23" s="7" customFormat="1" x14ac:dyDescent="0.55000000000000004">
      <c r="A42" s="6"/>
      <c r="B42" s="7" t="s">
        <v>94</v>
      </c>
      <c r="F42" s="8" t="s">
        <v>31</v>
      </c>
      <c r="L42" s="51">
        <f>ARR_M!L123</f>
        <v>0</v>
      </c>
      <c r="M42" s="51">
        <f>ARR_M!M123</f>
        <v>12.335900000000006</v>
      </c>
      <c r="N42" s="51">
        <f>ARR_M!N123</f>
        <v>16.470913130000042</v>
      </c>
      <c r="O42" s="51">
        <f>ARR_M!O123</f>
        <v>21.02564573215103</v>
      </c>
      <c r="P42" s="51">
        <f>ARR_M!P123</f>
        <v>26.037235170915693</v>
      </c>
      <c r="Q42" s="51">
        <f>ARR_M!Q123</f>
        <v>31.545868366464244</v>
      </c>
      <c r="R42" s="51">
        <f>ARR_M!R123</f>
        <v>37.595023894737011</v>
      </c>
      <c r="S42" s="51">
        <f>ARR_M!S123</f>
        <v>44.231732752455081</v>
      </c>
      <c r="T42" s="51">
        <f>ARR_M!T123</f>
        <v>51.50685919937461</v>
      </c>
      <c r="U42" s="51">
        <f>ARR_M!U123</f>
        <v>59.475403195258735</v>
      </c>
      <c r="V42" s="51">
        <f>ARR_M!V123</f>
        <v>68.196826061959527</v>
      </c>
      <c r="W42" s="51">
        <f>ARR_M!W123</f>
        <v>77.735401122231437</v>
      </c>
    </row>
    <row r="43" spans="1:23" s="7" customFormat="1" x14ac:dyDescent="0.55000000000000004">
      <c r="A43" s="6"/>
      <c r="B43" s="7" t="s">
        <v>97</v>
      </c>
      <c r="F43" s="8" t="s">
        <v>31</v>
      </c>
      <c r="L43" s="11">
        <f>L35</f>
        <v>-14.19</v>
      </c>
      <c r="M43" s="11">
        <f t="shared" ref="M43:W43" si="13">M35</f>
        <v>-15.995383</v>
      </c>
      <c r="N43" s="11">
        <f t="shared" si="13"/>
        <v>-17.853857272100001</v>
      </c>
      <c r="O43" s="11">
        <f t="shared" si="13"/>
        <v>-19.77270165876487</v>
      </c>
      <c r="P43" s="11">
        <f t="shared" si="13"/>
        <v>-21.759616430800065</v>
      </c>
      <c r="Q43" s="11">
        <f t="shared" si="13"/>
        <v>-23.822761484686541</v>
      </c>
      <c r="R43" s="11">
        <f t="shared" si="13"/>
        <v>-25.970797150938662</v>
      </c>
      <c r="S43" s="11">
        <f t="shared" si="13"/>
        <v>-28.212927821980848</v>
      </c>
      <c r="T43" s="11">
        <f t="shared" si="13"/>
        <v>-30.558948622877367</v>
      </c>
      <c r="U43" s="11">
        <f t="shared" si="13"/>
        <v>-33.019295364206201</v>
      </c>
      <c r="V43" s="11">
        <f t="shared" si="13"/>
        <v>-35.605098033524612</v>
      </c>
      <c r="W43" s="11">
        <f t="shared" si="13"/>
        <v>-38.328238100314387</v>
      </c>
    </row>
    <row r="44" spans="1:23" s="3" customFormat="1" x14ac:dyDescent="0.55000000000000004">
      <c r="A44" s="4"/>
      <c r="B44" s="43" t="s">
        <v>223</v>
      </c>
      <c r="C44" s="43"/>
      <c r="D44" s="43"/>
      <c r="E44" s="43"/>
      <c r="F44" s="57" t="s">
        <v>31</v>
      </c>
      <c r="G44" s="43"/>
      <c r="H44" s="43"/>
      <c r="I44" s="43"/>
      <c r="J44" s="43"/>
      <c r="K44" s="43"/>
      <c r="L44" s="58">
        <f>SUM(L41:L43)</f>
        <v>400.81</v>
      </c>
      <c r="M44" s="58">
        <f t="shared" ref="M44:W44" si="14">SUM(M41:M43)</f>
        <v>495.15051699999992</v>
      </c>
      <c r="N44" s="58">
        <f t="shared" si="14"/>
        <v>595.24257285790009</v>
      </c>
      <c r="O44" s="58">
        <f t="shared" si="14"/>
        <v>701.6542669312862</v>
      </c>
      <c r="P44" s="58">
        <f t="shared" si="14"/>
        <v>814.99659317140174</v>
      </c>
      <c r="Q44" s="58">
        <f t="shared" si="14"/>
        <v>935.92692812817938</v>
      </c>
      <c r="R44" s="58">
        <f t="shared" si="14"/>
        <v>1065.1527813767282</v>
      </c>
      <c r="S44" s="58">
        <f t="shared" si="14"/>
        <v>1203.4358284205898</v>
      </c>
      <c r="T44" s="58">
        <f t="shared" si="14"/>
        <v>1351.5962476079758</v>
      </c>
      <c r="U44" s="58">
        <f t="shared" si="14"/>
        <v>1510.5173841876151</v>
      </c>
      <c r="V44" s="58">
        <f t="shared" si="14"/>
        <v>1681.1507663387933</v>
      </c>
      <c r="W44" s="58">
        <f t="shared" si="14"/>
        <v>1864.5214998441484</v>
      </c>
    </row>
    <row r="45" spans="1:23" s="7" customFormat="1" x14ac:dyDescent="0.55000000000000004">
      <c r="A45" s="6"/>
      <c r="F45" s="8"/>
    </row>
    <row r="46" spans="1:23" s="7" customFormat="1" x14ac:dyDescent="0.55000000000000004">
      <c r="A46" s="6"/>
      <c r="B46" s="43" t="s">
        <v>99</v>
      </c>
      <c r="C46" s="43"/>
      <c r="D46" s="43"/>
      <c r="E46" s="43"/>
      <c r="F46" s="57" t="s">
        <v>16</v>
      </c>
      <c r="G46" s="43"/>
      <c r="H46" s="43"/>
      <c r="I46" s="43"/>
      <c r="J46" s="43"/>
      <c r="K46" s="43"/>
      <c r="L46" s="45">
        <f>L44/L41</f>
        <v>0.96580722891566262</v>
      </c>
      <c r="M46" s="45">
        <f t="shared" ref="M46:W46" si="15">M44/M41</f>
        <v>0.99266357330446453</v>
      </c>
      <c r="N46" s="45">
        <f t="shared" si="15"/>
        <v>0.99768205666252141</v>
      </c>
      <c r="O46" s="45">
        <f t="shared" si="15"/>
        <v>1.0017888944987621</v>
      </c>
      <c r="P46" s="45">
        <f t="shared" si="15"/>
        <v>1.0052763274020031</v>
      </c>
      <c r="Q46" s="45">
        <f t="shared" si="15"/>
        <v>1.0083204859805543</v>
      </c>
      <c r="R46" s="45">
        <f t="shared" si="15"/>
        <v>1.0110336133678395</v>
      </c>
      <c r="S46" s="45">
        <f t="shared" si="15"/>
        <v>1.0134904625869277</v>
      </c>
      <c r="T46" s="45">
        <f t="shared" si="15"/>
        <v>1.0157426346191734</v>
      </c>
      <c r="U46" s="45">
        <f t="shared" si="15"/>
        <v>1.0178268298301019</v>
      </c>
      <c r="V46" s="45">
        <f t="shared" si="15"/>
        <v>1.0197698276319171</v>
      </c>
      <c r="W46" s="45">
        <f t="shared" si="15"/>
        <v>1.0215916133180623</v>
      </c>
    </row>
    <row r="47" spans="1:23" s="7" customFormat="1" ht="14.4" x14ac:dyDescent="0.55000000000000004">
      <c r="A47" s="167"/>
      <c r="B47" s="168"/>
      <c r="F47" s="8"/>
    </row>
    <row r="48" spans="1:23" s="7" customFormat="1" ht="14.4" x14ac:dyDescent="0.55000000000000004">
      <c r="A48" s="163" t="s">
        <v>0</v>
      </c>
      <c r="B48" s="164" t="s">
        <v>180</v>
      </c>
      <c r="C48" s="49"/>
      <c r="D48" s="49"/>
      <c r="E48" s="49"/>
      <c r="F48" s="50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</row>
    <row r="55" spans="1:2" ht="14.4" x14ac:dyDescent="0.55000000000000004">
      <c r="A55" s="165"/>
      <c r="B55" s="165" t="s">
        <v>180</v>
      </c>
    </row>
    <row r="74" spans="1:2" ht="14.4" x14ac:dyDescent="0.55000000000000004">
      <c r="A74" s="165"/>
      <c r="B74" s="165"/>
    </row>
    <row r="88" spans="1:2" ht="14.4" x14ac:dyDescent="0.55000000000000004">
      <c r="A88" s="165"/>
      <c r="B88" s="16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B10D0-3282-49C9-8A7B-85268CDBF04C}">
  <sheetPr>
    <tabColor theme="1"/>
  </sheetPr>
  <dimension ref="A1:L87"/>
  <sheetViews>
    <sheetView showGridLines="0" zoomScale="85" zoomScaleNormal="85" workbookViewId="0"/>
  </sheetViews>
  <sheetFormatPr defaultColWidth="0" defaultRowHeight="14.4" customHeight="1" zeroHeight="1" x14ac:dyDescent="0.55000000000000004"/>
  <cols>
    <col min="1" max="1" width="2.578125" style="1" customWidth="1"/>
    <col min="2" max="11" width="8.83984375" style="1" customWidth="1"/>
    <col min="12" max="12" width="2.578125" style="1" customWidth="1"/>
    <col min="13" max="16384" width="8.83984375" style="1" hidden="1"/>
  </cols>
  <sheetData>
    <row r="1" spans="1:12" x14ac:dyDescent="0.55000000000000004"/>
    <row r="2" spans="1:12" x14ac:dyDescent="0.55000000000000004"/>
    <row r="3" spans="1:12" x14ac:dyDescent="0.55000000000000004"/>
    <row r="4" spans="1:12" ht="14.7" thickBot="1" x14ac:dyDescent="0.6">
      <c r="A4" s="6"/>
      <c r="B4" s="101"/>
      <c r="C4" s="101"/>
      <c r="D4" s="101"/>
      <c r="E4" s="101"/>
      <c r="F4" s="195"/>
      <c r="G4" s="101"/>
      <c r="H4" s="101"/>
      <c r="I4" s="101"/>
      <c r="J4" s="101"/>
      <c r="K4" s="101"/>
      <c r="L4"/>
    </row>
    <row r="5" spans="1:12" ht="3" customHeight="1" x14ac:dyDescent="0.55000000000000004">
      <c r="A5" s="180"/>
      <c r="B5" s="181"/>
      <c r="C5" s="181"/>
      <c r="D5" s="181"/>
      <c r="E5" s="181"/>
      <c r="F5" s="182"/>
      <c r="G5" s="181"/>
      <c r="H5" s="181"/>
      <c r="I5" s="181"/>
      <c r="J5" s="181"/>
      <c r="K5" s="181"/>
      <c r="L5"/>
    </row>
    <row r="6" spans="1:12" ht="15.6" x14ac:dyDescent="0.55000000000000004">
      <c r="A6" s="180"/>
      <c r="B6" s="194" t="s">
        <v>160</v>
      </c>
      <c r="C6" s="181"/>
      <c r="D6" s="181"/>
      <c r="E6" s="181"/>
      <c r="F6" s="181"/>
      <c r="G6" s="181"/>
      <c r="H6" s="181"/>
      <c r="I6" s="181"/>
      <c r="J6" s="181"/>
      <c r="K6" s="181"/>
      <c r="L6"/>
    </row>
    <row r="7" spans="1:12" x14ac:dyDescent="0.55000000000000004">
      <c r="A7" s="180"/>
      <c r="B7" s="179" t="s">
        <v>165</v>
      </c>
      <c r="C7" s="181"/>
      <c r="D7" s="181"/>
      <c r="E7" s="181"/>
      <c r="F7" s="181"/>
      <c r="G7" s="181"/>
      <c r="H7" s="181"/>
      <c r="I7" s="181"/>
      <c r="J7" s="181"/>
      <c r="K7" s="181"/>
      <c r="L7"/>
    </row>
    <row r="8" spans="1:12" ht="3" customHeight="1" x14ac:dyDescent="0.55000000000000004">
      <c r="A8" s="180"/>
      <c r="B8" s="181"/>
      <c r="C8" s="181"/>
      <c r="D8" s="181"/>
      <c r="E8" s="181"/>
      <c r="F8" s="182"/>
      <c r="G8" s="181"/>
      <c r="H8" s="181"/>
      <c r="I8" s="181"/>
      <c r="J8" s="181"/>
      <c r="K8" s="181"/>
      <c r="L8"/>
    </row>
    <row r="9" spans="1:12" x14ac:dyDescent="0.55000000000000004">
      <c r="A9" s="180"/>
      <c r="B9" s="181"/>
      <c r="C9" s="181"/>
      <c r="D9" s="181"/>
      <c r="E9" s="181"/>
      <c r="F9" s="186"/>
      <c r="G9" s="187"/>
      <c r="H9" s="186"/>
      <c r="I9" s="186"/>
      <c r="J9" s="186"/>
      <c r="K9" s="186"/>
      <c r="L9"/>
    </row>
    <row r="10" spans="1:12" ht="3" customHeight="1" thickBot="1" x14ac:dyDescent="0.6">
      <c r="A10" s="180"/>
      <c r="B10" s="196"/>
      <c r="C10" s="196"/>
      <c r="D10" s="196"/>
      <c r="E10" s="196"/>
      <c r="F10" s="197"/>
      <c r="G10" s="196"/>
      <c r="H10" s="196"/>
      <c r="I10" s="196"/>
      <c r="J10" s="196"/>
      <c r="K10" s="196"/>
      <c r="L10"/>
    </row>
    <row r="11" spans="1:12" x14ac:dyDescent="0.55000000000000004">
      <c r="A11" s="4"/>
      <c r="B11" s="3"/>
      <c r="C11" s="3"/>
      <c r="D11" s="3"/>
      <c r="E11" s="3"/>
      <c r="F11" s="5"/>
      <c r="G11" s="3"/>
      <c r="H11" s="3"/>
      <c r="I11" s="3"/>
      <c r="J11" s="3"/>
      <c r="K11" s="3"/>
      <c r="L11"/>
    </row>
    <row r="12" spans="1:12" x14ac:dyDescent="0.55000000000000004">
      <c r="A12" s="4"/>
      <c r="B12" s="3"/>
      <c r="C12" s="3"/>
      <c r="D12" s="3"/>
      <c r="E12" s="3"/>
      <c r="F12" s="174"/>
      <c r="G12" s="175"/>
      <c r="H12" s="175"/>
      <c r="I12" s="175"/>
      <c r="J12" s="175"/>
      <c r="K12" s="175"/>
      <c r="L12"/>
    </row>
    <row r="13" spans="1:12" x14ac:dyDescent="0.55000000000000004"/>
    <row r="14" spans="1:12" hidden="1" x14ac:dyDescent="0.55000000000000004"/>
    <row r="15" spans="1:12" hidden="1" x14ac:dyDescent="0.55000000000000004">
      <c r="A15" s="165"/>
      <c r="B15" s="165"/>
    </row>
    <row r="16" spans="1:12" hidden="1" x14ac:dyDescent="0.55000000000000004"/>
    <row r="17" hidden="1" x14ac:dyDescent="0.55000000000000004"/>
    <row r="18" hidden="1" x14ac:dyDescent="0.55000000000000004"/>
    <row r="19" hidden="1" x14ac:dyDescent="0.55000000000000004"/>
    <row r="20" hidden="1" x14ac:dyDescent="0.55000000000000004"/>
    <row r="21" hidden="1" x14ac:dyDescent="0.55000000000000004"/>
    <row r="22" hidden="1" x14ac:dyDescent="0.55000000000000004"/>
    <row r="23" hidden="1" x14ac:dyDescent="0.55000000000000004"/>
    <row r="24" hidden="1" x14ac:dyDescent="0.55000000000000004"/>
    <row r="25" hidden="1" x14ac:dyDescent="0.55000000000000004"/>
    <row r="26" hidden="1" x14ac:dyDescent="0.55000000000000004"/>
    <row r="27" hidden="1" x14ac:dyDescent="0.55000000000000004"/>
    <row r="28" hidden="1" x14ac:dyDescent="0.55000000000000004"/>
    <row r="29" hidden="1" x14ac:dyDescent="0.55000000000000004"/>
    <row r="30" hidden="1" x14ac:dyDescent="0.55000000000000004"/>
    <row r="31" hidden="1" x14ac:dyDescent="0.55000000000000004"/>
    <row r="32" x14ac:dyDescent="0.55000000000000004"/>
    <row r="43" spans="1:2" hidden="1" x14ac:dyDescent="0.55000000000000004">
      <c r="A43" s="165"/>
      <c r="B43" s="165"/>
    </row>
    <row r="46" spans="1:2" hidden="1" x14ac:dyDescent="0.55000000000000004"/>
    <row r="51" spans="1:2" hidden="1" x14ac:dyDescent="0.55000000000000004">
      <c r="A51" s="165"/>
      <c r="B51" s="165" t="s">
        <v>180</v>
      </c>
    </row>
    <row r="54" spans="1:2" hidden="1" x14ac:dyDescent="0.55000000000000004"/>
    <row r="70" spans="1:2" hidden="1" x14ac:dyDescent="0.55000000000000004">
      <c r="A70" s="165"/>
      <c r="B70" s="165"/>
    </row>
    <row r="73" spans="1:2" hidden="1" x14ac:dyDescent="0.55000000000000004"/>
    <row r="84" spans="1:2" hidden="1" x14ac:dyDescent="0.55000000000000004">
      <c r="A84" s="165"/>
      <c r="B84" s="165"/>
    </row>
    <row r="87" spans="1:2" hidden="1" x14ac:dyDescent="0.55000000000000004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C5FD3-3B2B-4B02-B7CE-58241EC5929D}">
  <sheetPr>
    <tabColor theme="0"/>
  </sheetPr>
  <dimension ref="A1:O88"/>
  <sheetViews>
    <sheetView showGridLines="0" zoomScale="85" zoomScaleNormal="85" workbookViewId="0">
      <pane xSplit="11" ySplit="11" topLeftCell="L12" activePane="bottomRight" state="frozen"/>
      <selection activeCell="H7" sqref="H7"/>
      <selection pane="topRight" activeCell="H7" sqref="H7"/>
      <selection pane="bottomLeft" activeCell="H7" sqref="H7"/>
      <selection pane="bottomRight"/>
    </sheetView>
  </sheetViews>
  <sheetFormatPr defaultColWidth="9.3125" defaultRowHeight="12.9" x14ac:dyDescent="0.5"/>
  <cols>
    <col min="1" max="1" width="2.578125" style="2" customWidth="1"/>
    <col min="2" max="5" width="9.3125" style="2"/>
    <col min="6" max="6" width="9.3125" style="62"/>
    <col min="7" max="16384" width="9.3125" style="2"/>
  </cols>
  <sheetData>
    <row r="1" spans="1:15" ht="6" customHeight="1" thickBot="1" x14ac:dyDescent="0.55000000000000004">
      <c r="B1" s="192"/>
      <c r="C1" s="192"/>
      <c r="D1" s="192"/>
      <c r="E1" s="192"/>
      <c r="F1" s="193"/>
      <c r="G1" s="192"/>
      <c r="H1" s="192"/>
      <c r="I1" s="192"/>
      <c r="J1" s="192"/>
      <c r="K1" s="192"/>
      <c r="L1" s="192"/>
      <c r="M1" s="192"/>
      <c r="N1" s="192"/>
      <c r="O1" s="192"/>
    </row>
    <row r="2" spans="1:15" s="177" customFormat="1" ht="3" customHeight="1" x14ac:dyDescent="0.55000000000000004">
      <c r="A2" s="176"/>
      <c r="F2" s="178"/>
    </row>
    <row r="3" spans="1:15" s="177" customFormat="1" ht="15.6" x14ac:dyDescent="0.55000000000000004">
      <c r="A3" s="176"/>
      <c r="B3" s="194" t="s">
        <v>160</v>
      </c>
    </row>
    <row r="4" spans="1:15" s="177" customFormat="1" ht="14.4" x14ac:dyDescent="0.55000000000000004">
      <c r="A4" s="176"/>
      <c r="B4" s="179" t="s">
        <v>101</v>
      </c>
    </row>
    <row r="5" spans="1:15" s="177" customFormat="1" ht="3" customHeight="1" x14ac:dyDescent="0.55000000000000004">
      <c r="A5" s="176"/>
      <c r="F5" s="178"/>
    </row>
    <row r="6" spans="1:15" s="181" customFormat="1" x14ac:dyDescent="0.5">
      <c r="A6" s="180"/>
      <c r="B6" s="181" t="s">
        <v>6</v>
      </c>
      <c r="F6" s="182"/>
      <c r="L6" s="183">
        <f>INP!L83</f>
        <v>46112</v>
      </c>
      <c r="M6" s="183">
        <f>INP!M83</f>
        <v>46203</v>
      </c>
      <c r="N6" s="183">
        <f>INP!N83</f>
        <v>46295</v>
      </c>
      <c r="O6" s="183">
        <f>INP!O83</f>
        <v>46387</v>
      </c>
    </row>
    <row r="7" spans="1:15" s="177" customFormat="1" x14ac:dyDescent="0.5">
      <c r="A7" s="176"/>
      <c r="B7" s="177" t="s">
        <v>7</v>
      </c>
      <c r="F7" s="178"/>
      <c r="L7" s="184">
        <f>INP!L84</f>
        <v>46023</v>
      </c>
      <c r="M7" s="184">
        <f>INP!M84</f>
        <v>46113</v>
      </c>
      <c r="N7" s="184">
        <f>INP!N84</f>
        <v>46204</v>
      </c>
      <c r="O7" s="184">
        <f>INP!O84</f>
        <v>46296</v>
      </c>
    </row>
    <row r="8" spans="1:15" s="177" customFormat="1" x14ac:dyDescent="0.5">
      <c r="A8" s="176"/>
      <c r="B8" s="177" t="s">
        <v>8</v>
      </c>
      <c r="F8" s="178"/>
      <c r="L8" s="185">
        <f>INP!L85</f>
        <v>2026</v>
      </c>
      <c r="M8" s="185">
        <f>INP!M85</f>
        <v>2026</v>
      </c>
      <c r="N8" s="185">
        <f>INP!N85</f>
        <v>2026</v>
      </c>
      <c r="O8" s="185">
        <f>INP!O85</f>
        <v>2026</v>
      </c>
    </row>
    <row r="9" spans="1:15" s="177" customFormat="1" x14ac:dyDescent="0.5">
      <c r="A9" s="176"/>
      <c r="B9" s="177" t="s">
        <v>9</v>
      </c>
      <c r="F9" s="186" t="s">
        <v>3</v>
      </c>
      <c r="G9" s="187"/>
      <c r="H9" s="186" t="s">
        <v>4</v>
      </c>
      <c r="I9" s="186" t="s">
        <v>10</v>
      </c>
      <c r="J9" s="186" t="s">
        <v>11</v>
      </c>
      <c r="K9" s="186" t="s">
        <v>183</v>
      </c>
      <c r="L9" s="185">
        <f>INP!L86</f>
        <v>90</v>
      </c>
      <c r="M9" s="185">
        <f>INP!M86</f>
        <v>91</v>
      </c>
      <c r="N9" s="185">
        <f>INP!N86</f>
        <v>92</v>
      </c>
      <c r="O9" s="185">
        <f>INP!O86</f>
        <v>92</v>
      </c>
    </row>
    <row r="10" spans="1:15" s="177" customFormat="1" ht="3" customHeight="1" thickBot="1" x14ac:dyDescent="0.6">
      <c r="A10" s="188"/>
      <c r="B10" s="189"/>
      <c r="C10" s="190"/>
      <c r="D10" s="190"/>
      <c r="E10" s="190"/>
      <c r="F10" s="191"/>
      <c r="G10" s="190"/>
      <c r="H10" s="190"/>
      <c r="I10" s="190"/>
      <c r="J10" s="190"/>
      <c r="K10" s="190"/>
      <c r="L10" s="190"/>
      <c r="M10" s="190"/>
      <c r="N10" s="190"/>
      <c r="O10" s="190"/>
    </row>
    <row r="11" spans="1:15" s="7" customFormat="1" ht="3" customHeight="1" x14ac:dyDescent="0.55000000000000004">
      <c r="A11" s="6"/>
      <c r="F11" s="8"/>
    </row>
    <row r="12" spans="1:15" s="7" customFormat="1" ht="3" customHeight="1" x14ac:dyDescent="0.55000000000000004">
      <c r="A12" s="6"/>
      <c r="F12" s="8"/>
    </row>
    <row r="13" spans="1:15" s="7" customFormat="1" ht="14.4" x14ac:dyDescent="0.55000000000000004">
      <c r="A13" s="163" t="s">
        <v>0</v>
      </c>
      <c r="B13" s="198" t="s">
        <v>203</v>
      </c>
      <c r="C13" s="202"/>
      <c r="D13" s="202"/>
      <c r="E13" s="202"/>
      <c r="F13" s="203"/>
      <c r="G13" s="202"/>
      <c r="H13" s="202"/>
      <c r="I13" s="202"/>
      <c r="J13" s="202"/>
      <c r="K13" s="202"/>
      <c r="L13" s="202"/>
      <c r="M13" s="202"/>
      <c r="N13" s="202"/>
      <c r="O13" s="202"/>
    </row>
    <row r="14" spans="1:15" s="7" customFormat="1" ht="14.4" x14ac:dyDescent="0.55000000000000004">
      <c r="A14" s="167"/>
      <c r="B14" s="168"/>
      <c r="F14" s="8"/>
    </row>
    <row r="15" spans="1:15" s="7" customFormat="1" x14ac:dyDescent="0.55000000000000004">
      <c r="A15" s="6"/>
      <c r="B15" s="7" t="s">
        <v>45</v>
      </c>
      <c r="F15" s="8" t="s">
        <v>31</v>
      </c>
      <c r="L15" s="51">
        <f>SUMIFS(FIN_M!$L15:$W15,FIN_M!$L$6:$W$6,"&gt;"&amp;L$7,FIN_M!$L$6:$W$6,"&lt;="&amp;L$6)</f>
        <v>1795.8368398579</v>
      </c>
      <c r="M15" s="51">
        <f>SUMIFS(FIN_M!$L15:$W15,FIN_M!$L$6:$W$6,"&gt;"&amp;M$7,FIN_M!$L$6:$W$6,"&lt;="&amp;M$6)</f>
        <v>2792.4513503106173</v>
      </c>
      <c r="N15" s="51">
        <f>SUMIFS(FIN_M!$L15:$W15,FIN_M!$L$6:$W$6,"&gt;"&amp;N$7,FIN_M!$L$6:$W$6,"&lt;="&amp;N$6)</f>
        <v>4002.1266368781567</v>
      </c>
      <c r="O15" s="51">
        <f>SUMIFS(FIN_M!$L15:$W15,FIN_M!$L$6:$W$6,"&gt;"&amp;O$7,FIN_M!$L$6:$W$6,"&lt;="&amp;O$6)</f>
        <v>5488.4482639076386</v>
      </c>
    </row>
    <row r="16" spans="1:15" s="54" customFormat="1" x14ac:dyDescent="0.55000000000000004">
      <c r="A16" s="52"/>
      <c r="B16" s="53" t="s">
        <v>54</v>
      </c>
      <c r="F16" s="8" t="s">
        <v>16</v>
      </c>
      <c r="L16" s="55"/>
      <c r="M16" s="56">
        <f>M15/L15-1</f>
        <v>0.55495827256310037</v>
      </c>
      <c r="N16" s="56">
        <f t="shared" ref="N16:O16" si="0">N15/M15-1</f>
        <v>0.43319475787214046</v>
      </c>
      <c r="O16" s="56">
        <f t="shared" si="0"/>
        <v>0.37138295758399131</v>
      </c>
    </row>
    <row r="17" spans="1:15" s="7" customFormat="1" x14ac:dyDescent="0.55000000000000004">
      <c r="A17" s="6"/>
      <c r="B17" s="7" t="s">
        <v>47</v>
      </c>
      <c r="F17" s="8" t="s">
        <v>31</v>
      </c>
      <c r="L17" s="51">
        <f>SUMIFS(FIN_M!$L17:$W17,FIN_M!$L$6:$W$6,"&gt;"&amp;L$7,FIN_M!$L$6:$W$6,"&lt;="&amp;L$6)</f>
        <v>-323.25063117442198</v>
      </c>
      <c r="M17" s="51">
        <f>SUMIFS(FIN_M!$L17:$W17,FIN_M!$L$6:$W$6,"&gt;"&amp;M$7,FIN_M!$L$6:$W$6,"&lt;="&amp;M$6)</f>
        <v>-502.64124305591116</v>
      </c>
      <c r="N17" s="51">
        <f>SUMIFS(FIN_M!$L17:$W17,FIN_M!$L$6:$W$6,"&gt;"&amp;N$7,FIN_M!$L$6:$W$6,"&lt;="&amp;N$6)</f>
        <v>-720.38279463806816</v>
      </c>
      <c r="O17" s="51">
        <f>SUMIFS(FIN_M!$L17:$W17,FIN_M!$L$6:$W$6,"&gt;"&amp;O$7,FIN_M!$L$6:$W$6,"&lt;="&amp;O$6)</f>
        <v>-987.92068750337478</v>
      </c>
    </row>
    <row r="18" spans="1:15" s="7" customFormat="1" x14ac:dyDescent="0.55000000000000004">
      <c r="A18" s="6"/>
      <c r="B18" s="43" t="s">
        <v>48</v>
      </c>
      <c r="C18" s="43"/>
      <c r="D18" s="43"/>
      <c r="E18" s="43"/>
      <c r="F18" s="57" t="s">
        <v>31</v>
      </c>
      <c r="G18" s="43"/>
      <c r="H18" s="43"/>
      <c r="I18" s="43"/>
      <c r="J18" s="43"/>
      <c r="K18" s="43"/>
      <c r="L18" s="58">
        <f>SUM(L15,L17)</f>
        <v>1472.5862086834782</v>
      </c>
      <c r="M18" s="58">
        <f t="shared" ref="M18:O18" si="1">SUM(M15,M17)</f>
        <v>2289.8101072547061</v>
      </c>
      <c r="N18" s="58">
        <f t="shared" si="1"/>
        <v>3281.7438422400883</v>
      </c>
      <c r="O18" s="58">
        <f t="shared" si="1"/>
        <v>4500.5275764042635</v>
      </c>
    </row>
    <row r="19" spans="1:15" s="54" customFormat="1" ht="14.4" x14ac:dyDescent="0.55000000000000004">
      <c r="A19" s="171"/>
      <c r="B19" s="172" t="s">
        <v>53</v>
      </c>
      <c r="F19" s="8" t="s">
        <v>16</v>
      </c>
      <c r="L19" s="56">
        <f>L18/L15</f>
        <v>0.82000000000000006</v>
      </c>
      <c r="M19" s="56">
        <f t="shared" ref="M19:O19" si="2">M18/M15</f>
        <v>0.82</v>
      </c>
      <c r="N19" s="56">
        <f t="shared" si="2"/>
        <v>0.82</v>
      </c>
      <c r="O19" s="56">
        <f t="shared" si="2"/>
        <v>0.82</v>
      </c>
    </row>
    <row r="20" spans="1:15" s="7" customFormat="1" x14ac:dyDescent="0.55000000000000004">
      <c r="A20" s="6"/>
      <c r="B20" s="7" t="s">
        <v>55</v>
      </c>
      <c r="F20" s="8" t="s">
        <v>31</v>
      </c>
      <c r="L20" s="51">
        <f>SUMIFS(FIN_M!$L20:$W20,FIN_M!$L$6:$W$6,"&gt;"&amp;L$7,FIN_M!$L$6:$W$6,"&lt;="&amp;L$6)</f>
        <v>-1616.2531558721098</v>
      </c>
      <c r="M20" s="51">
        <f>SUMIFS(FIN_M!$L20:$W20,FIN_M!$L$6:$W$6,"&gt;"&amp;M$7,FIN_M!$L$6:$W$6,"&lt;="&amp;M$6)</f>
        <v>-2513.2062152795556</v>
      </c>
      <c r="N20" s="51">
        <f>SUMIFS(FIN_M!$L20:$W20,FIN_M!$L$6:$W$6,"&gt;"&amp;N$7,FIN_M!$L$6:$W$6,"&lt;="&amp;N$6)</f>
        <v>-3601.9139731903415</v>
      </c>
      <c r="O20" s="51">
        <f>SUMIFS(FIN_M!$L20:$W20,FIN_M!$L$6:$W$6,"&gt;"&amp;O$7,FIN_M!$L$6:$W$6,"&lt;="&amp;O$6)</f>
        <v>-4939.6034375168747</v>
      </c>
    </row>
    <row r="21" spans="1:15" s="7" customFormat="1" x14ac:dyDescent="0.55000000000000004">
      <c r="A21" s="6"/>
      <c r="B21" s="7" t="s">
        <v>56</v>
      </c>
      <c r="F21" s="8" t="s">
        <v>31</v>
      </c>
      <c r="L21" s="51">
        <f>SUMIFS(FIN_M!$L21:$W21,FIN_M!$L$6:$W$6,"&gt;"&amp;L$7,FIN_M!$L$6:$W$6,"&lt;="&amp;L$6)</f>
        <v>-718.33473594316001</v>
      </c>
      <c r="M21" s="51">
        <f>SUMIFS(FIN_M!$L21:$W21,FIN_M!$L$6:$W$6,"&gt;"&amp;M$7,FIN_M!$L$6:$W$6,"&lt;="&amp;M$6)</f>
        <v>-1116.980540124247</v>
      </c>
      <c r="N21" s="51">
        <f>SUMIFS(FIN_M!$L21:$W21,FIN_M!$L$6:$W$6,"&gt;"&amp;N$7,FIN_M!$L$6:$W$6,"&lt;="&amp;N$6)</f>
        <v>-1600.8506547512627</v>
      </c>
      <c r="O21" s="51">
        <f>SUMIFS(FIN_M!$L21:$W21,FIN_M!$L$6:$W$6,"&gt;"&amp;O$7,FIN_M!$L$6:$W$6,"&lt;="&amp;O$6)</f>
        <v>-2195.3793055630554</v>
      </c>
    </row>
    <row r="22" spans="1:15" s="7" customFormat="1" x14ac:dyDescent="0.55000000000000004">
      <c r="A22" s="6"/>
      <c r="B22" s="7" t="s">
        <v>57</v>
      </c>
      <c r="F22" s="8" t="s">
        <v>31</v>
      </c>
      <c r="L22" s="51">
        <f>SUMIFS(FIN_M!$L22:$W22,FIN_M!$L$6:$W$6,"&gt;"&amp;L$7,FIN_M!$L$6:$W$6,"&lt;="&amp;L$6)</f>
        <v>-179.58368398579</v>
      </c>
      <c r="M22" s="51">
        <f>SUMIFS(FIN_M!$L22:$W22,FIN_M!$L$6:$W$6,"&gt;"&amp;M$7,FIN_M!$L$6:$W$6,"&lt;="&amp;M$6)</f>
        <v>-279.24513503106175</v>
      </c>
      <c r="N22" s="51">
        <f>SUMIFS(FIN_M!$L22:$W22,FIN_M!$L$6:$W$6,"&gt;"&amp;N$7,FIN_M!$L$6:$W$6,"&lt;="&amp;N$6)</f>
        <v>-400.21266368781568</v>
      </c>
      <c r="O22" s="51">
        <f>SUMIFS(FIN_M!$L22:$W22,FIN_M!$L$6:$W$6,"&gt;"&amp;O$7,FIN_M!$L$6:$W$6,"&lt;="&amp;O$6)</f>
        <v>-548.84482639076384</v>
      </c>
    </row>
    <row r="23" spans="1:15" s="7" customFormat="1" x14ac:dyDescent="0.55000000000000004">
      <c r="A23" s="6"/>
      <c r="B23" s="43" t="s">
        <v>49</v>
      </c>
      <c r="C23" s="43"/>
      <c r="D23" s="43"/>
      <c r="E23" s="43"/>
      <c r="F23" s="57" t="s">
        <v>31</v>
      </c>
      <c r="G23" s="43"/>
      <c r="H23" s="43"/>
      <c r="I23" s="43"/>
      <c r="J23" s="43"/>
      <c r="K23" s="43"/>
      <c r="L23" s="58">
        <f>SUM(L20:L22,L18)</f>
        <v>-1041.5853671175814</v>
      </c>
      <c r="M23" s="58">
        <f t="shared" ref="M23:O23" si="3">SUM(M20:M22,M18)</f>
        <v>-1619.6217831801582</v>
      </c>
      <c r="N23" s="58">
        <f t="shared" si="3"/>
        <v>-2321.2334493893313</v>
      </c>
      <c r="O23" s="58">
        <f t="shared" si="3"/>
        <v>-3183.2999930664309</v>
      </c>
    </row>
    <row r="24" spans="1:15" s="54" customFormat="1" x14ac:dyDescent="0.55000000000000004">
      <c r="A24" s="52"/>
      <c r="B24" s="53" t="s">
        <v>53</v>
      </c>
      <c r="F24" s="8" t="s">
        <v>16</v>
      </c>
      <c r="L24" s="56">
        <f>L23/L15</f>
        <v>-0.57999999999999963</v>
      </c>
      <c r="M24" s="56">
        <f t="shared" ref="M24:O24" si="4">M23/M15</f>
        <v>-0.58000000000000007</v>
      </c>
      <c r="N24" s="56">
        <f t="shared" si="4"/>
        <v>-0.58000000000000007</v>
      </c>
      <c r="O24" s="56">
        <f t="shared" si="4"/>
        <v>-0.58000000000000007</v>
      </c>
    </row>
    <row r="25" spans="1:15" s="7" customFormat="1" x14ac:dyDescent="0.55000000000000004">
      <c r="A25" s="6"/>
      <c r="B25" s="7" t="s">
        <v>58</v>
      </c>
      <c r="F25" s="8" t="s">
        <v>31</v>
      </c>
      <c r="L25" s="51">
        <f>SUMIFS(FIN_M!$L25:$W25,FIN_M!$L$6:$W$6,"&gt;"&amp;L$7,FIN_M!$L$6:$W$6,"&lt;="&amp;L$6)</f>
        <v>-6.0500457538099441</v>
      </c>
      <c r="M25" s="51">
        <f>SUMIFS(FIN_M!$L25:$W25,FIN_M!$L$6:$W$6,"&gt;"&amp;M$7,FIN_M!$L$6:$W$6,"&lt;="&amp;M$6)</f>
        <v>-10.127557577774049</v>
      </c>
      <c r="N25" s="51">
        <f>SUMIFS(FIN_M!$L25:$W25,FIN_M!$L$6:$W$6,"&gt;"&amp;N$7,FIN_M!$L$6:$W$6,"&lt;="&amp;N$6)</f>
        <v>-16.095818661886341</v>
      </c>
      <c r="O25" s="51">
        <f>SUMIFS(FIN_M!$L25:$W25,FIN_M!$L$6:$W$6,"&gt;"&amp;O$7,FIN_M!$L$6:$W$6,"&lt;="&amp;O$6)</f>
        <v>-24.378847310272558</v>
      </c>
    </row>
    <row r="26" spans="1:15" s="3" customFormat="1" x14ac:dyDescent="0.55000000000000004">
      <c r="A26" s="4"/>
      <c r="B26" s="43" t="s">
        <v>59</v>
      </c>
      <c r="C26" s="43"/>
      <c r="D26" s="43"/>
      <c r="E26" s="43"/>
      <c r="F26" s="57" t="s">
        <v>31</v>
      </c>
      <c r="G26" s="43"/>
      <c r="H26" s="43"/>
      <c r="I26" s="43"/>
      <c r="J26" s="43"/>
      <c r="K26" s="43"/>
      <c r="L26" s="58">
        <f>SUM(L23,L25)</f>
        <v>-1047.6354128713913</v>
      </c>
      <c r="M26" s="58">
        <f t="shared" ref="M26:O26" si="5">SUM(M23,M25)</f>
        <v>-1629.7493407579323</v>
      </c>
      <c r="N26" s="58">
        <f t="shared" si="5"/>
        <v>-2337.3292680512177</v>
      </c>
      <c r="O26" s="58">
        <f t="shared" si="5"/>
        <v>-3207.6788403767036</v>
      </c>
    </row>
    <row r="27" spans="1:15" s="7" customFormat="1" x14ac:dyDescent="0.55000000000000004">
      <c r="A27" s="6"/>
      <c r="B27" s="7" t="s">
        <v>60</v>
      </c>
      <c r="F27" s="8" t="s">
        <v>31</v>
      </c>
      <c r="L27" s="55"/>
      <c r="M27" s="55"/>
      <c r="N27" s="55"/>
      <c r="O27" s="55"/>
    </row>
    <row r="28" spans="1:15" s="3" customFormat="1" x14ac:dyDescent="0.55000000000000004">
      <c r="A28" s="4"/>
      <c r="B28" s="43" t="s">
        <v>61</v>
      </c>
      <c r="C28" s="43"/>
      <c r="D28" s="43"/>
      <c r="E28" s="43"/>
      <c r="F28" s="57" t="s">
        <v>31</v>
      </c>
      <c r="G28" s="43"/>
      <c r="H28" s="43"/>
      <c r="I28" s="43"/>
      <c r="J28" s="43"/>
      <c r="K28" s="43"/>
      <c r="L28" s="58">
        <f>SUM(L26:L27)</f>
        <v>-1047.6354128713913</v>
      </c>
      <c r="M28" s="58">
        <f t="shared" ref="M28:O28" si="6">SUM(M26:M27)</f>
        <v>-1629.7493407579323</v>
      </c>
      <c r="N28" s="58">
        <f t="shared" si="6"/>
        <v>-2337.3292680512177</v>
      </c>
      <c r="O28" s="58">
        <f t="shared" si="6"/>
        <v>-3207.6788403767036</v>
      </c>
    </row>
    <row r="29" spans="1:15" s="7" customFormat="1" x14ac:dyDescent="0.5">
      <c r="A29" s="6"/>
      <c r="B29" s="7" t="s">
        <v>62</v>
      </c>
      <c r="F29" s="8" t="s">
        <v>31</v>
      </c>
      <c r="H29" s="59">
        <f>INP!$H$35</f>
        <v>0.25</v>
      </c>
      <c r="L29" s="11">
        <f>-MAX(0,L28)*$H29</f>
        <v>0</v>
      </c>
      <c r="M29" s="11">
        <f t="shared" ref="M29:O29" si="7">-MAX(0,M28)*$H29</f>
        <v>0</v>
      </c>
      <c r="N29" s="11">
        <f t="shared" si="7"/>
        <v>0</v>
      </c>
      <c r="O29" s="11">
        <f t="shared" si="7"/>
        <v>0</v>
      </c>
    </row>
    <row r="30" spans="1:15" s="3" customFormat="1" x14ac:dyDescent="0.55000000000000004">
      <c r="A30" s="4"/>
      <c r="B30" s="43" t="s">
        <v>63</v>
      </c>
      <c r="C30" s="43"/>
      <c r="D30" s="43"/>
      <c r="E30" s="43"/>
      <c r="F30" s="57" t="s">
        <v>31</v>
      </c>
      <c r="G30" s="43"/>
      <c r="H30" s="43"/>
      <c r="I30" s="43"/>
      <c r="J30" s="43"/>
      <c r="K30" s="43"/>
      <c r="L30" s="58">
        <f>SUM(L28:L29)</f>
        <v>-1047.6354128713913</v>
      </c>
      <c r="M30" s="58">
        <f t="shared" ref="M30:O30" si="8">SUM(M28:M29)</f>
        <v>-1629.7493407579323</v>
      </c>
      <c r="N30" s="58">
        <f t="shared" si="8"/>
        <v>-2337.3292680512177</v>
      </c>
      <c r="O30" s="58">
        <f t="shared" si="8"/>
        <v>-3207.6788403767036</v>
      </c>
    </row>
    <row r="31" spans="1:15" s="7" customFormat="1" x14ac:dyDescent="0.55000000000000004">
      <c r="A31" s="6"/>
      <c r="F31" s="8"/>
    </row>
    <row r="32" spans="1:15" s="7" customFormat="1" ht="14.4" x14ac:dyDescent="0.55000000000000004">
      <c r="A32" s="163" t="s">
        <v>0</v>
      </c>
      <c r="B32" s="198" t="s">
        <v>204</v>
      </c>
      <c r="C32" s="202"/>
      <c r="D32" s="202"/>
      <c r="E32" s="202"/>
      <c r="F32" s="203"/>
      <c r="G32" s="202"/>
      <c r="H32" s="202"/>
      <c r="I32" s="202"/>
      <c r="J32" s="202"/>
      <c r="K32" s="202"/>
      <c r="L32" s="202"/>
      <c r="M32" s="202"/>
      <c r="N32" s="202"/>
      <c r="O32" s="202"/>
    </row>
    <row r="33" spans="1:15" s="7" customFormat="1" x14ac:dyDescent="0.55000000000000004">
      <c r="A33" s="6"/>
      <c r="F33" s="8"/>
    </row>
    <row r="34" spans="1:15" s="7" customFormat="1" x14ac:dyDescent="0.55000000000000004">
      <c r="A34" s="6"/>
      <c r="B34" s="3" t="s">
        <v>49</v>
      </c>
      <c r="F34" s="8" t="s">
        <v>31</v>
      </c>
      <c r="L34" s="60">
        <f>L23</f>
        <v>-1041.5853671175814</v>
      </c>
      <c r="M34" s="60">
        <f t="shared" ref="M34:O34" si="9">M23</f>
        <v>-1619.6217831801582</v>
      </c>
      <c r="N34" s="60">
        <f t="shared" si="9"/>
        <v>-2321.2334493893313</v>
      </c>
      <c r="O34" s="60">
        <f t="shared" si="9"/>
        <v>-3183.2999930664309</v>
      </c>
    </row>
    <row r="35" spans="1:15" s="7" customFormat="1" x14ac:dyDescent="0.55000000000000004">
      <c r="A35" s="6"/>
      <c r="B35" s="7" t="s">
        <v>71</v>
      </c>
      <c r="F35" s="8" t="s">
        <v>31</v>
      </c>
      <c r="L35" s="51">
        <f>SUMIFS(FIN_M!$L35:$W35,FIN_M!$L$6:$W$6,"&gt;"&amp;L$7,FIN_M!$L$6:$W$6,"&lt;="&amp;L$6)</f>
        <v>-35.916736797158002</v>
      </c>
      <c r="M35" s="51">
        <f>SUMIFS(FIN_M!$L35:$W35,FIN_M!$L$6:$W$6,"&gt;"&amp;M$7,FIN_M!$L$6:$W$6,"&lt;="&amp;M$6)</f>
        <v>-55.849027006212353</v>
      </c>
      <c r="N35" s="51">
        <f>SUMIFS(FIN_M!$L35:$W35,FIN_M!$L$6:$W$6,"&gt;"&amp;N$7,FIN_M!$L$6:$W$6,"&lt;="&amp;N$6)</f>
        <v>-80.04253273756315</v>
      </c>
      <c r="O35" s="51">
        <f>SUMIFS(FIN_M!$L35:$W35,FIN_M!$L$6:$W$6,"&gt;"&amp;O$7,FIN_M!$L$6:$W$6,"&lt;="&amp;O$6)</f>
        <v>-109.76896527815276</v>
      </c>
    </row>
    <row r="36" spans="1:15" s="7" customFormat="1" x14ac:dyDescent="0.55000000000000004">
      <c r="A36" s="6"/>
      <c r="B36" s="7" t="s">
        <v>81</v>
      </c>
      <c r="F36" s="8" t="s">
        <v>31</v>
      </c>
      <c r="L36" s="51">
        <f>SUMIFS(FIN_M!$L36:$W36,FIN_M!$L$6:$W$6,"&gt;"&amp;L$7,FIN_M!$L$6:$W$6,"&lt;="&amp;L$6)</f>
        <v>-35.186464461932879</v>
      </c>
      <c r="M36" s="51">
        <f>SUMIFS(FIN_M!$L36:$W36,FIN_M!$L$6:$W$6,"&gt;"&amp;M$7,FIN_M!$L$6:$W$6,"&lt;="&amp;M$6)</f>
        <v>-43.536234054455704</v>
      </c>
      <c r="N36" s="51">
        <f>SUMIFS(FIN_M!$L36:$W36,FIN_M!$L$6:$W$6,"&gt;"&amp;N$7,FIN_M!$L$6:$W$6,"&lt;="&amp;N$6)</f>
        <v>-53.079376650858876</v>
      </c>
      <c r="O36" s="51">
        <f>SUMIFS(FIN_M!$L36:$W36,FIN_M!$L$6:$W$6,"&gt;"&amp;O$7,FIN_M!$L$6:$W$6,"&lt;="&amp;O$6)</f>
        <v>-65.43044536666261</v>
      </c>
    </row>
    <row r="37" spans="1:15" s="7" customFormat="1" x14ac:dyDescent="0.55000000000000004">
      <c r="A37" s="6"/>
      <c r="B37" s="7" t="s">
        <v>82</v>
      </c>
      <c r="F37" s="8" t="s">
        <v>31</v>
      </c>
      <c r="L37" s="11">
        <f>L29</f>
        <v>0</v>
      </c>
      <c r="M37" s="11">
        <f t="shared" ref="M37:O37" si="10">M29</f>
        <v>0</v>
      </c>
      <c r="N37" s="11">
        <f t="shared" si="10"/>
        <v>0</v>
      </c>
      <c r="O37" s="11">
        <f t="shared" si="10"/>
        <v>0</v>
      </c>
    </row>
    <row r="38" spans="1:15" s="3" customFormat="1" x14ac:dyDescent="0.55000000000000004">
      <c r="A38" s="4"/>
      <c r="B38" s="43" t="s">
        <v>205</v>
      </c>
      <c r="C38" s="43"/>
      <c r="D38" s="43"/>
      <c r="E38" s="43"/>
      <c r="F38" s="57" t="s">
        <v>31</v>
      </c>
      <c r="G38" s="43"/>
      <c r="H38" s="43"/>
      <c r="I38" s="43"/>
      <c r="J38" s="43"/>
      <c r="K38" s="43"/>
      <c r="L38" s="58">
        <f>SUM(L34:L37)</f>
        <v>-1112.6885683766723</v>
      </c>
      <c r="M38" s="58">
        <f t="shared" ref="M38:O38" si="11">SUM(M34:M37)</f>
        <v>-1719.0070442408262</v>
      </c>
      <c r="N38" s="58">
        <f t="shared" si="11"/>
        <v>-2454.3553587777533</v>
      </c>
      <c r="O38" s="58">
        <f t="shared" si="11"/>
        <v>-3358.4994037112465</v>
      </c>
    </row>
    <row r="39" spans="1:15" s="7" customFormat="1" x14ac:dyDescent="0.55000000000000004">
      <c r="A39" s="6"/>
      <c r="F39" s="8"/>
    </row>
    <row r="40" spans="1:15" s="7" customFormat="1" x14ac:dyDescent="0.55000000000000004">
      <c r="A40" s="6"/>
      <c r="B40" s="3" t="s">
        <v>83</v>
      </c>
      <c r="F40" s="8"/>
    </row>
    <row r="41" spans="1:15" s="7" customFormat="1" x14ac:dyDescent="0.55000000000000004">
      <c r="A41" s="6"/>
      <c r="B41" s="7" t="s">
        <v>39</v>
      </c>
      <c r="F41" s="8" t="s">
        <v>31</v>
      </c>
      <c r="L41" s="11">
        <f>K44</f>
        <v>0</v>
      </c>
      <c r="M41" s="11">
        <f t="shared" ref="M41:O41" si="12">L44</f>
        <v>28887.311431623326</v>
      </c>
      <c r="N41" s="11">
        <f t="shared" si="12"/>
        <v>27168.304387382501</v>
      </c>
      <c r="O41" s="11">
        <f t="shared" si="12"/>
        <v>24713.949028604748</v>
      </c>
    </row>
    <row r="42" spans="1:15" s="7" customFormat="1" x14ac:dyDescent="0.55000000000000004">
      <c r="A42" s="6"/>
      <c r="B42" s="7" t="s">
        <v>65</v>
      </c>
      <c r="F42" s="8" t="s">
        <v>31</v>
      </c>
      <c r="L42" s="51">
        <f>SUMIFS(FIN_M!$L42:$W42,FIN_M!$L$6:$W$6,"&gt;"&amp;L$7,FIN_M!$L$6:$W$6,"&lt;="&amp;L$6)</f>
        <v>30000</v>
      </c>
      <c r="M42" s="51">
        <f>SUMIFS(FIN_M!$L42:$W42,FIN_M!$L$6:$W$6,"&gt;"&amp;M$7,FIN_M!$L$6:$W$6,"&lt;="&amp;M$6)</f>
        <v>0</v>
      </c>
      <c r="N42" s="51">
        <f>SUMIFS(FIN_M!$L42:$W42,FIN_M!$L$6:$W$6,"&gt;"&amp;N$7,FIN_M!$L$6:$W$6,"&lt;="&amp;N$6)</f>
        <v>0</v>
      </c>
      <c r="O42" s="51">
        <f>SUMIFS(FIN_M!$L42:$W42,FIN_M!$L$6:$W$6,"&gt;"&amp;O$7,FIN_M!$L$6:$W$6,"&lt;="&amp;O$6)</f>
        <v>0</v>
      </c>
    </row>
    <row r="43" spans="1:15" s="7" customFormat="1" x14ac:dyDescent="0.55000000000000004">
      <c r="A43" s="6"/>
      <c r="B43" s="7" t="s">
        <v>84</v>
      </c>
      <c r="F43" s="8" t="s">
        <v>31</v>
      </c>
      <c r="L43" s="11">
        <f>L38</f>
        <v>-1112.6885683766723</v>
      </c>
      <c r="M43" s="11">
        <f t="shared" ref="M43:O43" si="13">M38</f>
        <v>-1719.0070442408262</v>
      </c>
      <c r="N43" s="11">
        <f t="shared" si="13"/>
        <v>-2454.3553587777533</v>
      </c>
      <c r="O43" s="11">
        <f t="shared" si="13"/>
        <v>-3358.4994037112465</v>
      </c>
    </row>
    <row r="44" spans="1:15" s="3" customFormat="1" x14ac:dyDescent="0.55000000000000004">
      <c r="A44" s="4"/>
      <c r="B44" s="43" t="s">
        <v>185</v>
      </c>
      <c r="C44" s="43"/>
      <c r="D44" s="43"/>
      <c r="E44" s="43"/>
      <c r="F44" s="57" t="s">
        <v>31</v>
      </c>
      <c r="G44" s="43"/>
      <c r="H44" s="43"/>
      <c r="I44" s="43"/>
      <c r="J44" s="43"/>
      <c r="K44" s="43"/>
      <c r="L44" s="58">
        <f>SUM(L41:L43)</f>
        <v>28887.311431623326</v>
      </c>
      <c r="M44" s="58">
        <f t="shared" ref="M44:O44" si="14">SUM(M41:M43)</f>
        <v>27168.304387382501</v>
      </c>
      <c r="N44" s="58">
        <f t="shared" si="14"/>
        <v>24713.949028604748</v>
      </c>
      <c r="O44" s="58">
        <f t="shared" si="14"/>
        <v>21355.449624893503</v>
      </c>
    </row>
    <row r="45" spans="1:15" s="7" customFormat="1" x14ac:dyDescent="0.55000000000000004">
      <c r="A45" s="6"/>
      <c r="F45" s="8"/>
    </row>
    <row r="46" spans="1:15" s="7" customFormat="1" ht="14.4" x14ac:dyDescent="0.55000000000000004">
      <c r="A46" s="163" t="s">
        <v>0</v>
      </c>
      <c r="B46" s="198" t="s">
        <v>172</v>
      </c>
      <c r="C46" s="202"/>
      <c r="D46" s="202"/>
      <c r="E46" s="202"/>
      <c r="F46" s="203"/>
      <c r="G46" s="202"/>
      <c r="H46" s="202"/>
      <c r="I46" s="202"/>
      <c r="J46" s="202"/>
      <c r="K46" s="202"/>
      <c r="L46" s="202"/>
      <c r="M46" s="202"/>
      <c r="N46" s="202"/>
      <c r="O46" s="202"/>
    </row>
    <row r="47" spans="1:15" s="7" customFormat="1" ht="14.4" x14ac:dyDescent="0.55000000000000004">
      <c r="A47" s="167"/>
      <c r="B47" s="168"/>
      <c r="F47" s="8"/>
    </row>
    <row r="48" spans="1:15" s="7" customFormat="1" x14ac:dyDescent="0.55000000000000004">
      <c r="A48" s="6"/>
      <c r="B48" s="7" t="s">
        <v>83</v>
      </c>
      <c r="F48" s="8" t="s">
        <v>31</v>
      </c>
      <c r="L48" s="51">
        <f>SUMIFS(FIN_M!$L48:$W48,FIN_M!$L$6:$W$6,L$6)</f>
        <v>28887.311431623326</v>
      </c>
      <c r="M48" s="51">
        <f>SUMIFS(FIN_M!$L48:$W48,FIN_M!$L$6:$W$6,M$6)</f>
        <v>27168.304387382497</v>
      </c>
      <c r="N48" s="51">
        <f>SUMIFS(FIN_M!$L48:$W48,FIN_M!$L$6:$W$6,N$6)</f>
        <v>24713.949028604744</v>
      </c>
      <c r="O48" s="51">
        <f>SUMIFS(FIN_M!$L48:$W48,FIN_M!$L$6:$W$6,O$6)</f>
        <v>21355.449624893496</v>
      </c>
    </row>
    <row r="49" spans="1:15" s="7" customFormat="1" x14ac:dyDescent="0.55000000000000004">
      <c r="A49" s="6"/>
      <c r="B49" s="7" t="s">
        <v>85</v>
      </c>
      <c r="F49" s="8" t="s">
        <v>31</v>
      </c>
      <c r="L49" s="51">
        <f>SUMIFS(FIN_M!$L49:$W49,FIN_M!$L$6:$W$6,L$6)</f>
        <v>79.866691043348055</v>
      </c>
      <c r="M49" s="51">
        <f>SUMIFS(FIN_M!$L49:$W49,FIN_M!$L$6:$W$6,M$6)</f>
        <v>125.58816047178634</v>
      </c>
      <c r="N49" s="51">
        <f>SUMIFS(FIN_M!$L49:$W49,FIN_M!$L$6:$W$6,N$6)</f>
        <v>189.53487454746312</v>
      </c>
      <c r="O49" s="51">
        <f>SUMIFS(FIN_M!$L49:$W49,FIN_M!$L$6:$W$6,O$6)</f>
        <v>274.92499251534338</v>
      </c>
    </row>
    <row r="50" spans="1:15" s="7" customFormat="1" x14ac:dyDescent="0.55000000000000004">
      <c r="A50" s="6"/>
      <c r="B50" s="7" t="s">
        <v>72</v>
      </c>
      <c r="F50" s="8" t="s">
        <v>31</v>
      </c>
      <c r="L50" s="51">
        <f>SUMIFS(FIN_M!$L50:$W50,FIN_M!$L$6:$W$6,L$6)</f>
        <v>86.350848023576717</v>
      </c>
      <c r="M50" s="51">
        <f>SUMIFS(FIN_M!$L50:$W50,FIN_M!$L$6:$W$6,M$6)</f>
        <v>129.88708207803242</v>
      </c>
      <c r="N50" s="51">
        <f>SUMIFS(FIN_M!$L50:$W50,FIN_M!$L$6:$W$6,N$6)</f>
        <v>182.9664587288913</v>
      </c>
      <c r="O50" s="51">
        <f>SUMIFS(FIN_M!$L50:$W50,FIN_M!$L$6:$W$6,O$6)</f>
        <v>248.39690409555388</v>
      </c>
    </row>
    <row r="51" spans="1:15" s="3" customFormat="1" x14ac:dyDescent="0.55000000000000004">
      <c r="A51" s="4"/>
      <c r="B51" s="43" t="s">
        <v>86</v>
      </c>
      <c r="C51" s="43"/>
      <c r="D51" s="43"/>
      <c r="E51" s="43"/>
      <c r="F51" s="57" t="s">
        <v>31</v>
      </c>
      <c r="G51" s="43"/>
      <c r="H51" s="43"/>
      <c r="I51" s="43"/>
      <c r="J51" s="43"/>
      <c r="K51" s="43"/>
      <c r="L51" s="58">
        <f>SUM(L48:L50)</f>
        <v>29053.528970690251</v>
      </c>
      <c r="M51" s="58">
        <f t="shared" ref="M51:O51" si="15">SUM(M48:M50)</f>
        <v>27423.779629932316</v>
      </c>
      <c r="N51" s="58">
        <f t="shared" si="15"/>
        <v>25086.450361881096</v>
      </c>
      <c r="O51" s="58">
        <f t="shared" si="15"/>
        <v>21878.77152150439</v>
      </c>
    </row>
    <row r="52" spans="1:15" s="7" customFormat="1" x14ac:dyDescent="0.55000000000000004">
      <c r="A52" s="6"/>
      <c r="F52" s="8"/>
      <c r="L52" s="11"/>
      <c r="M52" s="11"/>
      <c r="N52" s="11"/>
      <c r="O52" s="11"/>
    </row>
    <row r="53" spans="1:15" s="7" customFormat="1" x14ac:dyDescent="0.55000000000000004">
      <c r="A53" s="6"/>
      <c r="B53" s="7" t="s">
        <v>87</v>
      </c>
      <c r="F53" s="8" t="s">
        <v>31</v>
      </c>
      <c r="L53" s="51">
        <f>SUMIFS(FIN_M!$L53:$W53,FIN_M!$L$6:$W$6,L$6)</f>
        <v>-6946.4710293097478</v>
      </c>
      <c r="M53" s="51">
        <f>SUMIFS(FIN_M!$L53:$W53,FIN_M!$L$6:$W$6,M$6)</f>
        <v>-8576.2203700676801</v>
      </c>
      <c r="N53" s="51">
        <f>SUMIFS(FIN_M!$L53:$W53,FIN_M!$L$6:$W$6,N$6)</f>
        <v>-10913.549638118897</v>
      </c>
      <c r="O53" s="51">
        <f>SUMIFS(FIN_M!$L53:$W53,FIN_M!$L$6:$W$6,O$6)</f>
        <v>-14121.228478495599</v>
      </c>
    </row>
    <row r="54" spans="1:15" s="7" customFormat="1" x14ac:dyDescent="0.5">
      <c r="A54" s="6"/>
      <c r="B54" s="7" t="s">
        <v>52</v>
      </c>
      <c r="F54" s="8" t="s">
        <v>31</v>
      </c>
      <c r="H54" s="61">
        <f>INP!H45</f>
        <v>36000</v>
      </c>
      <c r="L54" s="51">
        <f>SUMIFS(FIN_M!$L54:$W54,FIN_M!$L$6:$W$6,L$6)</f>
        <v>36000</v>
      </c>
      <c r="M54" s="51">
        <f>SUMIFS(FIN_M!$L54:$W54,FIN_M!$L$6:$W$6,M$6)</f>
        <v>36000</v>
      </c>
      <c r="N54" s="51">
        <f>SUMIFS(FIN_M!$L54:$W54,FIN_M!$L$6:$W$6,N$6)</f>
        <v>36000</v>
      </c>
      <c r="O54" s="51">
        <f>SUMIFS(FIN_M!$L54:$W54,FIN_M!$L$6:$W$6,O$6)</f>
        <v>36000</v>
      </c>
    </row>
    <row r="55" spans="1:15" s="3" customFormat="1" x14ac:dyDescent="0.55000000000000004">
      <c r="A55" s="4"/>
      <c r="B55" s="43" t="s">
        <v>207</v>
      </c>
      <c r="C55" s="43"/>
      <c r="D55" s="43"/>
      <c r="E55" s="43"/>
      <c r="F55" s="57" t="s">
        <v>31</v>
      </c>
      <c r="G55" s="43"/>
      <c r="H55" s="43"/>
      <c r="I55" s="43"/>
      <c r="J55" s="43"/>
      <c r="K55" s="43"/>
      <c r="L55" s="58">
        <f>SUM(L53:L54)</f>
        <v>29053.528970690251</v>
      </c>
      <c r="M55" s="58">
        <f t="shared" ref="M55:O55" si="16">SUM(M53:M54)</f>
        <v>27423.77962993232</v>
      </c>
      <c r="N55" s="58">
        <f t="shared" si="16"/>
        <v>25086.450361881103</v>
      </c>
      <c r="O55" s="58">
        <f t="shared" si="16"/>
        <v>21878.771521504401</v>
      </c>
    </row>
    <row r="56" spans="1:15" s="7" customFormat="1" x14ac:dyDescent="0.55000000000000004">
      <c r="A56" s="6"/>
      <c r="B56" s="7" t="s">
        <v>17</v>
      </c>
      <c r="F56" s="8" t="s">
        <v>31</v>
      </c>
      <c r="L56" s="11">
        <f>L55-L51</f>
        <v>0</v>
      </c>
      <c r="M56" s="11">
        <f t="shared" ref="M56:O56" si="17">M55-M51</f>
        <v>0</v>
      </c>
      <c r="N56" s="11">
        <f t="shared" si="17"/>
        <v>0</v>
      </c>
      <c r="O56" s="11">
        <f t="shared" si="17"/>
        <v>0</v>
      </c>
    </row>
    <row r="57" spans="1:15" s="7" customFormat="1" x14ac:dyDescent="0.55000000000000004">
      <c r="A57" s="6"/>
      <c r="F57" s="8"/>
    </row>
    <row r="58" spans="1:15" s="7" customFormat="1" ht="14.4" x14ac:dyDescent="0.55000000000000004">
      <c r="A58" s="163" t="s">
        <v>0</v>
      </c>
      <c r="B58" s="198" t="s">
        <v>225</v>
      </c>
      <c r="C58" s="202"/>
      <c r="D58" s="202"/>
      <c r="E58" s="202"/>
      <c r="F58" s="203"/>
      <c r="G58" s="202"/>
      <c r="H58" s="202"/>
      <c r="I58" s="202"/>
      <c r="J58" s="202"/>
      <c r="K58" s="202"/>
      <c r="L58" s="202"/>
      <c r="M58" s="202"/>
      <c r="N58" s="202"/>
      <c r="O58" s="202"/>
    </row>
    <row r="59" spans="1:15" s="7" customFormat="1" x14ac:dyDescent="0.55000000000000004">
      <c r="A59" s="6"/>
      <c r="F59" s="8"/>
    </row>
    <row r="60" spans="1:15" s="7" customFormat="1" x14ac:dyDescent="0.55000000000000004">
      <c r="A60" s="6"/>
      <c r="B60" s="7" t="s">
        <v>42</v>
      </c>
      <c r="F60" s="8" t="s">
        <v>31</v>
      </c>
      <c r="L60" s="51">
        <f>SUMIFS(ARR_M!$L19:$W19,ARR_M!$L$6:$W$6,L$6)</f>
        <v>769.22484000000009</v>
      </c>
      <c r="M60" s="51">
        <f>SUMIFS(ARR_M!$L19:$W19,ARR_M!$L$6:$W$6,M$6)</f>
        <v>923.36792266364</v>
      </c>
      <c r="N60" s="51">
        <f>SUMIFS(ARR_M!$L19:$W19,ARR_M!$L$6:$W$6,N$6)</f>
        <v>1064.143510911452</v>
      </c>
      <c r="O60" s="51">
        <f>SUMIFS(ARR_M!$L19:$W19,ARR_M!$L$6:$W$6,O$6)</f>
        <v>1193.044215117159</v>
      </c>
    </row>
    <row r="61" spans="1:15" s="7" customFormat="1" x14ac:dyDescent="0.55000000000000004">
      <c r="A61" s="6"/>
      <c r="B61" s="7" t="s">
        <v>26</v>
      </c>
      <c r="F61" s="8" t="s">
        <v>15</v>
      </c>
      <c r="L61" s="51">
        <f>SUMIFS(ARR_M!$L25:$W25,ARR_M!$L$6:$W$6,L$6)</f>
        <v>21.162412376048596</v>
      </c>
      <c r="M61" s="51">
        <f>SUMIFS(ARR_M!$L25:$W25,ARR_M!$L$6:$W$6,M$6)</f>
        <v>27.389764138944649</v>
      </c>
      <c r="N61" s="51">
        <f>SUMIFS(ARR_M!$L25:$W25,ARR_M!$L$6:$W$6,N$6)</f>
        <v>34.474238636072755</v>
      </c>
      <c r="O61" s="51">
        <f>SUMIFS(ARR_M!$L25:$W25,ARR_M!$L$6:$W$6,O$6)</f>
        <v>42.844662806577823</v>
      </c>
    </row>
    <row r="62" spans="1:15" s="7" customFormat="1" x14ac:dyDescent="0.55000000000000004">
      <c r="A62" s="6"/>
      <c r="B62" s="7" t="s">
        <v>103</v>
      </c>
      <c r="F62" s="8" t="s">
        <v>31</v>
      </c>
      <c r="L62" s="51">
        <f>SUMIFS(ARR_M!$L31:$W31,ARR_M!$L$6:$W$6,L$6)</f>
        <v>10.926344856849395</v>
      </c>
      <c r="M62" s="51">
        <f>SUMIFS(ARR_M!$L31:$W31,ARR_M!$L$6:$W$6,M$6)</f>
        <v>13.691554953658972</v>
      </c>
      <c r="N62" s="51">
        <f>SUMIFS(ARR_M!$L31:$W31,ARR_M!$L$6:$W$6,N$6)</f>
        <v>16.735275960124358</v>
      </c>
      <c r="O62" s="51">
        <f>SUMIFS(ARR_M!$L31:$W31,ARR_M!$L$6:$W$6,O$6)</f>
        <v>20.265215956750041</v>
      </c>
    </row>
    <row r="63" spans="1:15" s="7" customFormat="1" x14ac:dyDescent="0.55000000000000004">
      <c r="A63" s="6"/>
      <c r="B63" s="7" t="s">
        <v>20</v>
      </c>
      <c r="F63" s="8" t="s">
        <v>31</v>
      </c>
      <c r="L63" s="51">
        <f>SUMIFS(ARR_M!$L43:$W43,ARR_M!$L$6:$W$6,L$6)</f>
        <v>8404.8158742947999</v>
      </c>
      <c r="M63" s="51">
        <f>SUMIFS(ARR_M!$L43:$W43,ARR_M!$L$6:$W$6,M$6)</f>
        <v>12642.342655595156</v>
      </c>
      <c r="N63" s="51">
        <f>SUMIFS(ARR_M!$L43:$W43,ARR_M!$L$6:$W$6,N$6)</f>
        <v>17808.735316278755</v>
      </c>
      <c r="O63" s="51">
        <f>SUMIFS(ARR_M!$L43:$W43,ARR_M!$L$6:$W$6,O$6)</f>
        <v>24177.298665300579</v>
      </c>
    </row>
    <row r="64" spans="1:15" s="7" customFormat="1" x14ac:dyDescent="0.55000000000000004">
      <c r="A64" s="6"/>
      <c r="F64" s="8"/>
    </row>
    <row r="65" spans="1:15" s="7" customFormat="1" ht="14.4" x14ac:dyDescent="0.55000000000000004">
      <c r="A65" s="163" t="s">
        <v>0</v>
      </c>
      <c r="B65" s="198" t="s">
        <v>226</v>
      </c>
      <c r="C65" s="202"/>
      <c r="D65" s="202"/>
      <c r="E65" s="202"/>
      <c r="F65" s="203"/>
      <c r="G65" s="202"/>
      <c r="H65" s="202"/>
      <c r="I65" s="202"/>
      <c r="J65" s="202"/>
      <c r="K65" s="202"/>
      <c r="L65" s="202"/>
      <c r="M65" s="202"/>
      <c r="N65" s="202"/>
      <c r="O65" s="202"/>
    </row>
    <row r="67" spans="1:15" x14ac:dyDescent="0.5">
      <c r="B67" s="2" t="s">
        <v>89</v>
      </c>
      <c r="F67" s="8" t="s">
        <v>100</v>
      </c>
      <c r="L67" s="63">
        <f>SUMIFS(SAAS_M!$L24:$W24,SAAS_M!$L$6:$W$6,L$6)</f>
        <v>6.3202769739865525</v>
      </c>
      <c r="M67" s="63">
        <f>SUMIFS(SAAS_M!$L24:$W24,SAAS_M!$L$6:$W$6,M$6)</f>
        <v>7.7528075765141446</v>
      </c>
      <c r="N67" s="63">
        <f>SUMIFS(SAAS_M!$L24:$W24,SAAS_M!$L$6:$W$6,N$6)</f>
        <v>8.8537860893361415</v>
      </c>
      <c r="O67" s="63">
        <f>SUMIFS(SAAS_M!$L24:$W24,SAAS_M!$L$6:$W$6,O$6)</f>
        <v>9.6993290417596434</v>
      </c>
    </row>
    <row r="68" spans="1:15" x14ac:dyDescent="0.5">
      <c r="B68" s="2" t="str">
        <f>SAAS_M!B28</f>
        <v>CAC Payback % of Customer Life</v>
      </c>
      <c r="F68" s="8" t="s">
        <v>16</v>
      </c>
      <c r="L68" s="64">
        <f>SUMIFS(SAAS_M!$L28:$W28,SAAS_M!$L$6:$W$6,L$6)</f>
        <v>0.26851748695405098</v>
      </c>
      <c r="M68" s="64">
        <f>SUMIFS(SAAS_M!$L28:$W28,SAAS_M!$L$6:$W$6,M$6)</f>
        <v>0.31225961362703497</v>
      </c>
      <c r="N68" s="64">
        <f>SUMIFS(SAAS_M!$L28:$W28,SAAS_M!$L$6:$W$6,N$6)</f>
        <v>0.34302080807729529</v>
      </c>
      <c r="O68" s="64">
        <f>SUMIFS(SAAS_M!$L28:$W28,SAAS_M!$L$6:$W$6,O$6)</f>
        <v>0.36451961230331803</v>
      </c>
    </row>
    <row r="69" spans="1:15" x14ac:dyDescent="0.5">
      <c r="B69" s="2" t="str">
        <f>SAAS_M!B29</f>
        <v>Implied S&amp;M Multiple on Customer Acquisition</v>
      </c>
      <c r="F69" s="8" t="s">
        <v>19</v>
      </c>
      <c r="L69" s="65">
        <f>SUMIFS(SAAS_M!$L29:$W29,SAAS_M!$L$6:$W$6,L$6)</f>
        <v>3.7241522380667935</v>
      </c>
      <c r="M69" s="65">
        <f>SUMIFS(SAAS_M!$L29:$W29,SAAS_M!$L$6:$W$6,M$6)</f>
        <v>3.2024634514356598</v>
      </c>
      <c r="N69" s="65">
        <f>SUMIFS(SAAS_M!$L29:$W29,SAAS_M!$L$6:$W$6,N$6)</f>
        <v>2.9152750400339067</v>
      </c>
      <c r="O69" s="65">
        <f>SUMIFS(SAAS_M!$L29:$W29,SAAS_M!$L$6:$W$6,O$6)</f>
        <v>2.7433366168728845</v>
      </c>
    </row>
    <row r="70" spans="1:15" x14ac:dyDescent="0.5">
      <c r="B70" s="2" t="str">
        <f>SAAS_M!B38</f>
        <v>GDR (%)</v>
      </c>
      <c r="F70" s="8" t="s">
        <v>16</v>
      </c>
      <c r="L70" s="64">
        <f>SUMIFS(SAAS_M!$L38:$W38,SAAS_M!$L$6:$W$6,L$6)</f>
        <v>0.97007527039427655</v>
      </c>
      <c r="M70" s="64">
        <f>SUMIFS(SAAS_M!$L38:$W38,SAAS_M!$L$6:$W$6,M$6)</f>
        <v>0.97433455784237444</v>
      </c>
      <c r="N70" s="64">
        <f>SUMIFS(SAAS_M!$L38:$W38,SAAS_M!$L$6:$W$6,N$6)</f>
        <v>0.97703454190530103</v>
      </c>
      <c r="O70" s="64">
        <f>SUMIFS(SAAS_M!$L38:$W38,SAAS_M!$L$6:$W$6,O$6)</f>
        <v>0.97899954138377487</v>
      </c>
    </row>
    <row r="71" spans="1:15" x14ac:dyDescent="0.5">
      <c r="B71" s="2" t="str">
        <f>SAAS_M!B46</f>
        <v>NDR (%)</v>
      </c>
      <c r="F71" s="8" t="s">
        <v>16</v>
      </c>
      <c r="L71" s="64">
        <f>SUMIFS(SAAS_M!$L46:$W46,SAAS_M!$L$6:$W$6,L$6)</f>
        <v>0.99768205666252141</v>
      </c>
      <c r="M71" s="64">
        <f>SUMIFS(SAAS_M!$L46:$W46,SAAS_M!$L$6:$W$6,M$6)</f>
        <v>1.0083204859805543</v>
      </c>
      <c r="N71" s="64">
        <f>SUMIFS(SAAS_M!$L46:$W46,SAAS_M!$L$6:$W$6,N$6)</f>
        <v>1.0157426346191734</v>
      </c>
      <c r="O71" s="64">
        <f>SUMIFS(SAAS_M!$L46:$W46,SAAS_M!$L$6:$W$6,O$6)</f>
        <v>1.0215916133180623</v>
      </c>
    </row>
    <row r="73" spans="1:15" s="7" customFormat="1" ht="14.4" x14ac:dyDescent="0.55000000000000004">
      <c r="A73" s="163" t="s">
        <v>0</v>
      </c>
      <c r="B73" s="164" t="s">
        <v>180</v>
      </c>
      <c r="C73" s="49"/>
      <c r="D73" s="49"/>
      <c r="E73" s="49"/>
      <c r="F73" s="50"/>
      <c r="G73" s="49"/>
      <c r="H73" s="49"/>
      <c r="I73" s="49"/>
      <c r="J73" s="49"/>
      <c r="K73" s="49"/>
      <c r="L73" s="49"/>
      <c r="M73" s="49"/>
      <c r="N73" s="49"/>
      <c r="O73" s="49"/>
    </row>
    <row r="74" spans="1:15" ht="14.4" x14ac:dyDescent="0.55000000000000004">
      <c r="A74" s="165"/>
      <c r="B74" s="165"/>
    </row>
    <row r="88" spans="1:2" ht="14.4" x14ac:dyDescent="0.55000000000000004">
      <c r="A88" s="165"/>
      <c r="B88" s="16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C&gt;</vt:lpstr>
      <vt:lpstr>INP</vt:lpstr>
      <vt:lpstr>SUM</vt:lpstr>
      <vt:lpstr>M&gt;</vt:lpstr>
      <vt:lpstr>ARR_M</vt:lpstr>
      <vt:lpstr>FIN_M</vt:lpstr>
      <vt:lpstr>SAAS_M</vt:lpstr>
      <vt:lpstr>Q&gt;</vt:lpstr>
      <vt:lpstr>ROLL_Q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Dharma</dc:creator>
  <cp:lastModifiedBy>Iraklis Jaya</cp:lastModifiedBy>
  <cp:lastPrinted>2025-12-20T22:50:10Z</cp:lastPrinted>
  <dcterms:created xsi:type="dcterms:W3CDTF">2025-12-20T06:39:54Z</dcterms:created>
  <dcterms:modified xsi:type="dcterms:W3CDTF">2025-12-21T07:40:17Z</dcterms:modified>
</cp:coreProperties>
</file>